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pu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_-* #,##0.00_-;\-* #,##0.00_-;_-* &quot;-&quot;??_-;_-@"/>
    <numFmt numFmtId="165" formatCode="[$-409]d\-mmm\-yy"/>
    <numFmt numFmtId="166" formatCode="D/M/YYYY"/>
    <numFmt numFmtId="167" formatCode="0.000"/>
    <numFmt numFmtId="168" formatCode="0.0"/>
    <numFmt numFmtId="169" formatCode="_-* #,##0.0_-;\-* #,##0.0_-;_-* &quot;-&quot;??_-;_-@"/>
    <numFmt numFmtId="170" formatCode="_-* #,##0_-;\-* #,##0_-;_-* &quot;-&quot;??_-;_-@"/>
    <numFmt numFmtId="171" formatCode="#,##0.0"/>
    <numFmt numFmtId="172" formatCode="0.0%"/>
    <numFmt numFmtId="173" formatCode="_(&quot;$&quot;* #,##0_);_(&quot;$&quot;* \(#,##0\);_(&quot;$&quot;* &quot;-&quot;??_);_(@_)"/>
    <numFmt numFmtId="174" formatCode="[$€-2]\ #,##0.00_);\([$€-2]\ #,##0.00\)"/>
    <numFmt numFmtId="175" formatCode="_ * #,##0.00_ ;_ * \-#,##0.00_ ;_ * &quot;-&quot;??_ ;_ @_ "/>
    <numFmt numFmtId="176" formatCode="#,##0.00000"/>
  </numFmts>
  <fonts count="22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0"/>
    </font>
    <font>
      <name val="Poppins"/>
      <color theme="1"/>
      <sz val="10"/>
    </font>
    <font>
      <name val="Arial"/>
      <color theme="1"/>
      <scheme val="minor"/>
    </font>
    <font>
      <name val="Poppins"/>
      <b val="1"/>
      <color theme="1"/>
      <sz val="10"/>
    </font>
    <font>
      <name val="Arial"/>
      <color theme="1"/>
      <sz val="11"/>
    </font>
    <font/>
    <font>
      <name val="Arial"/>
      <b val="1"/>
      <color theme="1"/>
      <sz val="12"/>
      <u val="single"/>
    </font>
    <font>
      <name val="Arial"/>
      <b val="1"/>
      <color theme="1"/>
      <sz val="24"/>
    </font>
    <font>
      <name val="Arial"/>
      <b val="1"/>
      <color theme="1"/>
      <sz val="11"/>
    </font>
    <font>
      <name val="Arial"/>
      <color rgb="FFFF0000"/>
      <sz val="10"/>
    </font>
    <font>
      <name val="Arial"/>
      <b val="1"/>
      <color theme="1"/>
      <sz val="12"/>
    </font>
    <font>
      <name val="Arial"/>
      <b val="1"/>
      <color theme="1"/>
      <sz val="12"/>
      <u val="single"/>
    </font>
    <font>
      <name val="Arial"/>
      <color theme="1"/>
      <sz val="12"/>
    </font>
    <font>
      <name val="Arial"/>
      <b val="1"/>
      <color theme="1"/>
      <sz val="12"/>
      <u val="single"/>
    </font>
    <font>
      <name val="Arial"/>
      <b val="1"/>
      <color theme="1"/>
      <sz val="12"/>
      <u val="single"/>
    </font>
    <font>
      <name val="Arial"/>
      <color rgb="FF0000CC"/>
      <sz val="11"/>
    </font>
    <font>
      <name val="Arial"/>
      <b val="1"/>
      <color theme="1"/>
      <sz val="8"/>
    </font>
    <font>
      <name val="Arial"/>
      <color theme="1"/>
      <sz val="8"/>
    </font>
    <font>
      <name val="Arial"/>
      <b val="1"/>
      <color theme="1"/>
      <sz val="14"/>
    </font>
    <font>
      <name val="Poppins"/>
      <b val="1"/>
      <color theme="1"/>
      <sz val="10"/>
      <u val="single"/>
    </font>
  </fonts>
  <fills count="11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D99594"/>
        <bgColor rgb="FFD99594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</fills>
  <borders count="13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thin">
        <color rgb="FF000000"/>
      </right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left/>
      <right/>
      <top style="hair">
        <color rgb="FF000000"/>
      </top>
      <bottom style="medium">
        <color rgb="FF000000"/>
      </bottom>
    </border>
    <border>
      <left/>
      <right/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thin">
        <color rgb="FF000000"/>
      </left>
      <bottom style="hair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right style="medium">
        <color rgb="FF000000"/>
      </right>
    </border>
    <border>
      <right style="hair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</borders>
  <cellStyleXfs count="1">
    <xf numFmtId="0" fontId="0" fillId="0" borderId="0"/>
  </cellStyleXfs>
  <cellXfs count="63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9" fontId="3" fillId="2" borderId="3" pivotButton="0" quotePrefix="0" xfId="0"/>
    <xf numFmtId="9" fontId="3" fillId="2" borderId="3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  <xf numFmtId="0" fontId="1" fillId="0" borderId="4" applyAlignment="1" pivotButton="0" quotePrefix="0" xfId="0">
      <alignment horizontal="left"/>
    </xf>
    <xf numFmtId="0" fontId="1" fillId="2" borderId="5" pivotButton="0" quotePrefix="0" xfId="0"/>
    <xf numFmtId="0" fontId="2" fillId="0" borderId="6" pivotButton="0" quotePrefix="0" xfId="0"/>
    <xf numFmtId="0" fontId="2" fillId="3" borderId="7" applyAlignment="1" pivotButton="0" quotePrefix="0" xfId="0">
      <alignment horizontal="center"/>
    </xf>
    <xf numFmtId="165" fontId="2" fillId="2" borderId="4" applyAlignment="1" pivotButton="0" quotePrefix="0" xfId="0">
      <alignment horizontal="center"/>
    </xf>
    <xf numFmtId="0" fontId="3" fillId="0" borderId="8" pivotButton="0" quotePrefix="0" xfId="0"/>
    <xf numFmtId="0" fontId="3" fillId="0" borderId="8" applyAlignment="1" pivotButton="0" quotePrefix="0" xfId="0">
      <alignment horizontal="center"/>
    </xf>
    <xf numFmtId="9" fontId="3" fillId="0" borderId="0" pivotButton="0" quotePrefix="0" xfId="0"/>
    <xf numFmtId="9" fontId="3" fillId="0" borderId="0" applyAlignment="1" pivotButton="0" quotePrefix="0" xfId="0">
      <alignment horizontal="right"/>
    </xf>
    <xf numFmtId="0" fontId="1" fillId="0" borderId="9" pivotButton="0" quotePrefix="0" xfId="0"/>
    <xf numFmtId="0" fontId="1" fillId="2" borderId="10" pivotButton="0" quotePrefix="0" xfId="0"/>
    <xf numFmtId="0" fontId="1" fillId="2" borderId="11" pivotButton="0" quotePrefix="0" xfId="0"/>
    <xf numFmtId="0" fontId="2" fillId="3" borderId="12" applyAlignment="1" pivotButton="0" quotePrefix="0" xfId="0">
      <alignment horizontal="center"/>
    </xf>
    <xf numFmtId="0" fontId="1" fillId="0" borderId="13" applyAlignment="1" pivotButton="0" quotePrefix="0" xfId="0">
      <alignment horizontal="left"/>
    </xf>
    <xf numFmtId="2" fontId="2" fillId="2" borderId="9" applyAlignment="1" pivotButton="0" quotePrefix="0" xfId="0">
      <alignment horizontal="center"/>
    </xf>
    <xf numFmtId="3" fontId="3" fillId="3" borderId="8" pivotButton="0" quotePrefix="0" xfId="0"/>
    <xf numFmtId="2" fontId="3" fillId="0" borderId="0" pivotButton="0" quotePrefix="0" xfId="0"/>
    <xf numFmtId="3" fontId="1" fillId="2" borderId="10" pivotButton="0" quotePrefix="0" xfId="0"/>
    <xf numFmtId="0" fontId="2" fillId="0" borderId="14" pivotButton="0" quotePrefix="0" xfId="0"/>
    <xf numFmtId="0" fontId="1" fillId="0" borderId="9" applyAlignment="1" pivotButton="0" quotePrefix="0" xfId="0">
      <alignment horizontal="left"/>
    </xf>
    <xf numFmtId="3" fontId="2" fillId="2" borderId="9" applyAlignment="1" pivotButton="0" quotePrefix="0" xfId="0">
      <alignment horizontal="center"/>
    </xf>
    <xf numFmtId="164" fontId="3" fillId="2" borderId="8" pivotButton="0" quotePrefix="0" xfId="0"/>
    <xf numFmtId="164" fontId="3" fillId="0" borderId="0" pivotButton="0" quotePrefix="0" xfId="0"/>
    <xf numFmtId="2" fontId="4" fillId="0" borderId="0" pivotButton="0" quotePrefix="0" xfId="0"/>
    <xf numFmtId="166" fontId="1" fillId="0" borderId="0" pivotButton="0" quotePrefix="0" xfId="0"/>
    <xf numFmtId="0" fontId="5" fillId="0" borderId="0" pivotButton="0" quotePrefix="0" xfId="0"/>
    <xf numFmtId="0" fontId="6" fillId="3" borderId="3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7" fillId="0" borderId="14" pivotButton="0" quotePrefix="0" xfId="0"/>
    <xf numFmtId="167" fontId="2" fillId="2" borderId="9" applyAlignment="1" pivotButton="0" quotePrefix="0" xfId="0">
      <alignment horizontal="center" wrapText="1"/>
    </xf>
    <xf numFmtId="0" fontId="1" fillId="2" borderId="10" applyAlignment="1" pivotButton="0" quotePrefix="0" xfId="0">
      <alignment horizontal="center"/>
    </xf>
    <xf numFmtId="0" fontId="7" fillId="0" borderId="15" pivotButton="0" quotePrefix="0" xfId="0"/>
    <xf numFmtId="0" fontId="7" fillId="0" borderId="16" pivotButton="0" quotePrefix="0" xfId="0"/>
    <xf numFmtId="167" fontId="2" fillId="4" borderId="9" applyAlignment="1" pivotButton="0" quotePrefix="0" xfId="0">
      <alignment horizontal="center"/>
    </xf>
    <xf numFmtId="0" fontId="8" fillId="0" borderId="8" applyAlignment="1" pivotButton="0" quotePrefix="0" xfId="0">
      <alignment horizontal="left"/>
    </xf>
    <xf numFmtId="0" fontId="1" fillId="0" borderId="8" pivotButton="0" quotePrefix="0" xfId="0"/>
    <xf numFmtId="0" fontId="9" fillId="3" borderId="8" applyAlignment="1" pivotButton="0" quotePrefix="0" xfId="0">
      <alignment horizontal="center"/>
    </xf>
    <xf numFmtId="0" fontId="10" fillId="3" borderId="1" applyAlignment="1" pivotButton="0" quotePrefix="0" xfId="0">
      <alignment horizontal="center" vertical="center" wrapText="1"/>
    </xf>
    <xf numFmtId="0" fontId="7" fillId="0" borderId="17" pivotButton="0" quotePrefix="0" xfId="0"/>
    <xf numFmtId="0" fontId="1" fillId="0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/>
    </xf>
    <xf numFmtId="0" fontId="7" fillId="0" borderId="2" pivotButton="0" quotePrefix="0" xfId="0"/>
    <xf numFmtId="0" fontId="10" fillId="0" borderId="8" applyAlignment="1" pivotButton="0" quotePrefix="0" xfId="0">
      <alignment horizontal="left"/>
    </xf>
    <xf numFmtId="164" fontId="6" fillId="0" borderId="8" applyAlignment="1" pivotButton="0" quotePrefix="0" xfId="0">
      <alignment horizontal="left"/>
    </xf>
    <xf numFmtId="0" fontId="3" fillId="3" borderId="3" pivotButton="0" quotePrefix="0" xfId="0"/>
    <xf numFmtId="0" fontId="1" fillId="0" borderId="18" pivotButton="0" quotePrefix="0" xfId="0"/>
    <xf numFmtId="0" fontId="11" fillId="2" borderId="19" pivotButton="0" quotePrefix="0" xfId="0"/>
    <xf numFmtId="0" fontId="11" fillId="2" borderId="19" pivotButton="0" quotePrefix="0" xfId="0"/>
    <xf numFmtId="0" fontId="1" fillId="3" borderId="20" applyAlignment="1" pivotButton="0" quotePrefix="0" xfId="0">
      <alignment horizontal="left"/>
    </xf>
    <xf numFmtId="0" fontId="1" fillId="0" borderId="9" applyAlignment="1" pivotButton="0" quotePrefix="0" xfId="0">
      <alignment horizontal="center"/>
    </xf>
    <xf numFmtId="0" fontId="2" fillId="4" borderId="9" applyAlignment="1" pivotButton="0" quotePrefix="0" xfId="0">
      <alignment horizontal="center"/>
    </xf>
    <xf numFmtId="0" fontId="5" fillId="2" borderId="3" pivotButton="0" quotePrefix="0" xfId="0"/>
    <xf numFmtId="168" fontId="1" fillId="2" borderId="8" applyAlignment="1" pivotButton="0" quotePrefix="0" xfId="0">
      <alignment horizontal="center"/>
    </xf>
    <xf numFmtId="169" fontId="1" fillId="2" borderId="8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/>
    </xf>
    <xf numFmtId="0" fontId="2" fillId="3" borderId="5" applyAlignment="1" pivotButton="0" quotePrefix="0" xfId="0">
      <alignment horizontal="left"/>
    </xf>
    <xf numFmtId="0" fontId="1" fillId="3" borderId="22" applyAlignment="1" pivotButton="0" quotePrefix="0" xfId="0">
      <alignment horizontal="center"/>
    </xf>
    <xf numFmtId="0" fontId="1" fillId="3" borderId="23" pivotButton="0" quotePrefix="0" xfId="0"/>
    <xf numFmtId="0" fontId="1" fillId="3" borderId="23" applyAlignment="1" pivotButton="0" quotePrefix="0" xfId="0">
      <alignment horizontal="left"/>
    </xf>
    <xf numFmtId="0" fontId="1" fillId="3" borderId="22" pivotButton="0" quotePrefix="0" xfId="0"/>
    <xf numFmtId="165" fontId="2" fillId="3" borderId="22" applyAlignment="1" pivotButton="0" quotePrefix="0" xfId="0">
      <alignment horizontal="center"/>
    </xf>
    <xf numFmtId="0" fontId="6" fillId="0" borderId="8" applyAlignment="1" pivotButton="0" quotePrefix="0" xfId="0">
      <alignment horizontal="left"/>
    </xf>
    <xf numFmtId="0" fontId="3" fillId="2" borderId="8" applyAlignment="1" pivotButton="0" quotePrefix="0" xfId="0">
      <alignment vertical="center"/>
    </xf>
    <xf numFmtId="0" fontId="2" fillId="3" borderId="5" applyAlignment="1" pivotButton="0" quotePrefix="0" xfId="0">
      <alignment horizontal="center"/>
    </xf>
    <xf numFmtId="0" fontId="12" fillId="5" borderId="24" applyAlignment="1" pivotButton="0" quotePrefix="0" xfId="0">
      <alignment horizontal="center" vertical="center"/>
    </xf>
    <xf numFmtId="0" fontId="7" fillId="0" borderId="25" pivotButton="0" quotePrefix="0" xfId="0"/>
    <xf numFmtId="0" fontId="7" fillId="0" borderId="26" pivotButton="0" quotePrefix="0" xfId="0"/>
    <xf numFmtId="0" fontId="12" fillId="3" borderId="27" applyAlignment="1" pivotButton="0" quotePrefix="0" xfId="0">
      <alignment horizontal="center" vertical="center"/>
    </xf>
    <xf numFmtId="0" fontId="1" fillId="0" borderId="1" pivotButton="0" quotePrefix="0" xfId="0"/>
    <xf numFmtId="0" fontId="12" fillId="3" borderId="28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164" fontId="1" fillId="3" borderId="30" applyAlignment="1" pivotButton="0" quotePrefix="0" xfId="0">
      <alignment horizontal="center" vertical="center" wrapText="1"/>
    </xf>
    <xf numFmtId="0" fontId="9" fillId="3" borderId="31" applyAlignment="1" pivotButton="0" quotePrefix="0" xfId="0">
      <alignment horizontal="center" vertical="center"/>
    </xf>
    <xf numFmtId="0" fontId="7" fillId="0" borderId="32" pivotButton="0" quotePrefix="0" xfId="0"/>
    <xf numFmtId="0" fontId="7" fillId="0" borderId="6" pivotButton="0" quotePrefix="0" xfId="0"/>
    <xf numFmtId="0" fontId="1" fillId="2" borderId="8" applyAlignment="1" pivotButton="0" quotePrefix="0" xfId="0">
      <alignment horizontal="center"/>
    </xf>
    <xf numFmtId="170" fontId="2" fillId="2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1" fontId="2" fillId="3" borderId="10" applyAlignment="1" pivotButton="0" quotePrefix="0" xfId="0">
      <alignment horizontal="left" vertical="center"/>
    </xf>
    <xf numFmtId="0" fontId="1" fillId="3" borderId="11" applyAlignment="1" pivotButton="0" quotePrefix="0" xfId="0">
      <alignment horizontal="center"/>
    </xf>
    <xf numFmtId="0" fontId="1" fillId="3" borderId="33" pivotButton="0" quotePrefix="0" xfId="0"/>
    <xf numFmtId="0" fontId="1" fillId="3" borderId="33" applyAlignment="1" pivotButton="0" quotePrefix="0" xfId="0">
      <alignment horizontal="left"/>
    </xf>
    <xf numFmtId="0" fontId="1" fillId="3" borderId="11" pivotButton="0" quotePrefix="0" xfId="0"/>
    <xf numFmtId="3" fontId="2" fillId="3" borderId="11" applyAlignment="1" pivotButton="0" quotePrefix="0" xfId="0">
      <alignment horizontal="center"/>
    </xf>
    <xf numFmtId="1" fontId="2" fillId="3" borderId="10" applyAlignment="1" pivotButton="0" quotePrefix="0" xfId="0">
      <alignment horizontal="center"/>
    </xf>
    <xf numFmtId="0" fontId="1" fillId="0" borderId="34" pivotButton="0" quotePrefix="0" xfId="0"/>
    <xf numFmtId="168" fontId="2" fillId="0" borderId="35" applyAlignment="1" pivotButton="0" quotePrefix="0" xfId="0">
      <alignment horizontal="center" vertical="center"/>
    </xf>
    <xf numFmtId="168" fontId="2" fillId="0" borderId="36" pivotButton="0" quotePrefix="0" xfId="0"/>
    <xf numFmtId="0" fontId="1" fillId="0" borderId="37" applyAlignment="1" pivotButton="0" quotePrefix="0" xfId="0">
      <alignment horizontal="center"/>
    </xf>
    <xf numFmtId="0" fontId="1" fillId="0" borderId="38" pivotButton="0" quotePrefix="0" xfId="0"/>
    <xf numFmtId="0" fontId="1" fillId="3" borderId="39" applyAlignment="1" pivotButton="0" quotePrefix="0" xfId="0">
      <alignment wrapText="1"/>
    </xf>
    <xf numFmtId="0" fontId="1" fillId="3" borderId="39" applyAlignment="1" pivotButton="0" quotePrefix="0" xfId="0">
      <alignment horizontal="center"/>
    </xf>
    <xf numFmtId="171" fontId="1" fillId="2" borderId="4" applyAlignment="1" pivotButton="0" quotePrefix="0" xfId="0">
      <alignment horizontal="center"/>
    </xf>
    <xf numFmtId="164" fontId="1" fillId="2" borderId="4" applyAlignment="1" pivotButton="0" quotePrefix="0" xfId="0">
      <alignment horizontal="center"/>
    </xf>
    <xf numFmtId="0" fontId="7" fillId="0" borderId="40" pivotButton="0" quotePrefix="0" xfId="0"/>
    <xf numFmtId="3" fontId="1" fillId="2" borderId="8" applyAlignment="1" pivotButton="0" quotePrefix="0" xfId="0">
      <alignment horizontal="center"/>
    </xf>
    <xf numFmtId="3" fontId="2" fillId="0" borderId="21" applyAlignment="1" pivotButton="0" quotePrefix="0" xfId="0">
      <alignment horizontal="center"/>
    </xf>
    <xf numFmtId="0" fontId="2" fillId="3" borderId="10" applyAlignment="1" pivotButton="0" quotePrefix="0" xfId="0">
      <alignment horizontal="left"/>
    </xf>
    <xf numFmtId="0" fontId="2" fillId="3" borderId="10" applyAlignment="1" pivotButton="0" quotePrefix="0" xfId="0">
      <alignment horizontal="center"/>
    </xf>
    <xf numFmtId="0" fontId="1" fillId="0" borderId="41" pivotButton="0" quotePrefix="0" xfId="0"/>
    <xf numFmtId="9" fontId="2" fillId="0" borderId="36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7" fillId="0" borderId="43" pivotButton="0" quotePrefix="0" xfId="0"/>
    <xf numFmtId="0" fontId="1" fillId="0" borderId="44" pivotButton="0" quotePrefix="0" xfId="0"/>
    <xf numFmtId="0" fontId="1" fillId="3" borderId="33" applyAlignment="1" pivotButton="0" quotePrefix="0" xfId="0">
      <alignment wrapText="1"/>
    </xf>
    <xf numFmtId="0" fontId="1" fillId="3" borderId="33" applyAlignment="1" pivotButton="0" quotePrefix="0" xfId="0">
      <alignment horizontal="center"/>
    </xf>
    <xf numFmtId="171" fontId="1" fillId="2" borderId="9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7" applyAlignment="1" pivotButton="0" quotePrefix="0" xfId="0">
      <alignment horizontal="left"/>
    </xf>
    <xf numFmtId="9" fontId="1" fillId="2" borderId="8" applyAlignment="1" pivotButton="0" quotePrefix="0" xfId="0">
      <alignment horizontal="center"/>
    </xf>
    <xf numFmtId="172" fontId="2" fillId="0" borderId="45" applyAlignment="1" pivotButton="0" quotePrefix="0" xfId="0">
      <alignment horizontal="center"/>
    </xf>
    <xf numFmtId="49" fontId="2" fillId="3" borderId="10" applyAlignment="1" pivotButton="0" quotePrefix="0" xfId="0">
      <alignment horizontal="left"/>
    </xf>
    <xf numFmtId="2" fontId="2" fillId="3" borderId="11" applyAlignment="1" pivotButton="0" quotePrefix="0" xfId="0">
      <alignment horizontal="center"/>
    </xf>
    <xf numFmtId="170" fontId="6" fillId="2" borderId="8" applyAlignment="1" pivotButton="0" quotePrefix="0" xfId="0">
      <alignment horizontal="left"/>
    </xf>
    <xf numFmtId="167" fontId="2" fillId="3" borderId="11" applyAlignment="1" pivotButton="0" quotePrefix="0" xfId="0">
      <alignment horizontal="center"/>
    </xf>
    <xf numFmtId="168" fontId="2" fillId="0" borderId="36" applyAlignment="1" pivotButton="0" quotePrefix="0" xfId="0">
      <alignment horizontal="center" vertical="center"/>
    </xf>
    <xf numFmtId="0" fontId="7" fillId="0" borderId="46" pivotButton="0" quotePrefix="0" xfId="0"/>
    <xf numFmtId="0" fontId="7" fillId="0" borderId="47" pivotButton="0" quotePrefix="0" xfId="0"/>
    <xf numFmtId="0" fontId="7" fillId="0" borderId="48" pivotButton="0" quotePrefix="0" xfId="0"/>
    <xf numFmtId="0" fontId="7" fillId="0" borderId="49" pivotButton="0" quotePrefix="0" xfId="0"/>
    <xf numFmtId="0" fontId="1" fillId="0" borderId="50" pivotButton="0" quotePrefix="0" xfId="0"/>
    <xf numFmtId="0" fontId="1" fillId="2" borderId="30" applyAlignment="1" pivotButton="0" quotePrefix="0" xfId="0">
      <alignment horizontal="center"/>
    </xf>
    <xf numFmtId="170" fontId="1" fillId="6" borderId="30" applyAlignment="1" pivotButton="0" quotePrefix="0" xfId="0">
      <alignment horizontal="center" vertical="center"/>
    </xf>
    <xf numFmtId="1" fontId="2" fillId="0" borderId="51" applyAlignment="1" pivotButton="0" quotePrefix="0" xfId="0">
      <alignment horizontal="center" vertical="center" wrapText="1"/>
    </xf>
    <xf numFmtId="0" fontId="2" fillId="3" borderId="33" pivotButton="0" quotePrefix="0" xfId="0"/>
    <xf numFmtId="0" fontId="2" fillId="3" borderId="11" pivotButton="0" quotePrefix="0" xfId="0"/>
    <xf numFmtId="0" fontId="2" fillId="3" borderId="11" applyAlignment="1" pivotButton="0" quotePrefix="0" xfId="0">
      <alignment horizontal="center"/>
    </xf>
    <xf numFmtId="173" fontId="6" fillId="0" borderId="8" applyAlignment="1" pivotButton="0" quotePrefix="0" xfId="0">
      <alignment horizontal="left"/>
    </xf>
    <xf numFmtId="1" fontId="2" fillId="0" borderId="36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7" fillId="0" borderId="45" pivotButton="0" quotePrefix="0" xfId="0"/>
    <xf numFmtId="0" fontId="1" fillId="3" borderId="52" pivotButton="0" quotePrefix="0" xfId="0"/>
    <xf numFmtId="0" fontId="7" fillId="0" borderId="53" pivotButton="0" quotePrefix="0" xfId="0"/>
    <xf numFmtId="0" fontId="7" fillId="0" borderId="54" pivotButton="0" quotePrefix="0" xfId="0"/>
    <xf numFmtId="0" fontId="1" fillId="2" borderId="4" applyAlignment="1" pivotButton="0" quotePrefix="0" xfId="0">
      <alignment horizontal="center"/>
    </xf>
    <xf numFmtId="0" fontId="1" fillId="0" borderId="55" pivotButton="0" quotePrefix="0" xfId="0"/>
    <xf numFmtId="0" fontId="1" fillId="0" borderId="56" applyAlignment="1" pivotButton="0" quotePrefix="0" xfId="0">
      <alignment horizontal="center"/>
    </xf>
    <xf numFmtId="0" fontId="1" fillId="0" borderId="56" pivotButton="0" quotePrefix="0" xfId="0"/>
    <xf numFmtId="0" fontId="1" fillId="0" borderId="43" pivotButton="0" quotePrefix="0" xfId="0"/>
    <xf numFmtId="0" fontId="1" fillId="0" borderId="57" pivotButton="0" quotePrefix="0" xfId="0"/>
    <xf numFmtId="0" fontId="2" fillId="3" borderId="58" applyAlignment="1" pivotButton="0" quotePrefix="0" xfId="0">
      <alignment horizontal="left"/>
    </xf>
    <xf numFmtId="0" fontId="1" fillId="3" borderId="59" applyAlignment="1" pivotButton="0" quotePrefix="0" xfId="0">
      <alignment horizontal="center"/>
    </xf>
    <xf numFmtId="0" fontId="1" fillId="3" borderId="60" pivotButton="0" quotePrefix="0" xfId="0"/>
    <xf numFmtId="0" fontId="1" fillId="3" borderId="59" pivotButton="0" quotePrefix="0" xfId="0"/>
    <xf numFmtId="168" fontId="2" fillId="3" borderId="59" applyAlignment="1" pivotButton="0" quotePrefix="0" xfId="0">
      <alignment horizontal="center"/>
    </xf>
    <xf numFmtId="170" fontId="6" fillId="0" borderId="8" applyAlignment="1" pivotButton="0" quotePrefix="0" xfId="0">
      <alignment horizontal="left"/>
    </xf>
    <xf numFmtId="0" fontId="2" fillId="3" borderId="58" applyAlignment="1" pivotButton="0" quotePrefix="0" xfId="0">
      <alignment horizontal="center"/>
    </xf>
    <xf numFmtId="2" fontId="2" fillId="0" borderId="36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top" wrapText="1"/>
    </xf>
    <xf numFmtId="1" fontId="2" fillId="3" borderId="61" applyAlignment="1" pivotButton="0" quotePrefix="0" xfId="0">
      <alignment horizontal="center"/>
    </xf>
    <xf numFmtId="0" fontId="1" fillId="3" borderId="44" pivotButton="0" quotePrefix="0" xfId="0"/>
    <xf numFmtId="0" fontId="7" fillId="0" borderId="62" pivotButton="0" quotePrefix="0" xfId="0"/>
    <xf numFmtId="0" fontId="7" fillId="0" borderId="63" pivotButton="0" quotePrefix="0" xfId="0"/>
    <xf numFmtId="0" fontId="1" fillId="2" borderId="9" applyAlignment="1" pivotButton="0" quotePrefix="0" xfId="0">
      <alignment horizontal="center" wrapText="1"/>
    </xf>
    <xf numFmtId="0" fontId="13" fillId="0" borderId="64" pivotButton="0" quotePrefix="0" xfId="0"/>
    <xf numFmtId="0" fontId="2" fillId="0" borderId="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1" fillId="0" borderId="40" pivotButton="0" quotePrefix="0" xfId="0"/>
    <xf numFmtId="0" fontId="1" fillId="0" borderId="14" applyAlignment="1" pivotButton="0" quotePrefix="0" xfId="0">
      <alignment horizontal="right"/>
    </xf>
    <xf numFmtId="174" fontId="3" fillId="0" borderId="0" pivotButton="0" quotePrefix="0" xfId="0"/>
    <xf numFmtId="1" fontId="2" fillId="0" borderId="36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left" vertical="center" wrapText="1"/>
    </xf>
    <xf numFmtId="0" fontId="7" fillId="0" borderId="65" pivotButton="0" quotePrefix="0" xfId="0"/>
    <xf numFmtId="0" fontId="7" fillId="0" borderId="66" pivotButton="0" quotePrefix="0" xfId="0"/>
    <xf numFmtId="0" fontId="1" fillId="2" borderId="67" applyAlignment="1" pivotButton="0" quotePrefix="0" xfId="0">
      <alignment horizontal="center" vertical="center"/>
    </xf>
    <xf numFmtId="0" fontId="1" fillId="0" borderId="68" pivotButton="0" quotePrefix="0" xfId="0"/>
    <xf numFmtId="0" fontId="1" fillId="0" borderId="17" pivotButton="0" quotePrefix="0" xfId="0"/>
    <xf numFmtId="4" fontId="2" fillId="2" borderId="8" applyAlignment="1" pivotButton="0" quotePrefix="0" xfId="0">
      <alignment horizontal="right"/>
    </xf>
    <xf numFmtId="3" fontId="2" fillId="3" borderId="69" applyAlignment="1" pivotButton="0" quotePrefix="0" xfId="0">
      <alignment horizontal="right"/>
    </xf>
    <xf numFmtId="0" fontId="3" fillId="0" borderId="70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74" fontId="6" fillId="7" borderId="30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wrapText="1"/>
    </xf>
    <xf numFmtId="1" fontId="2" fillId="3" borderId="61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/>
    </xf>
    <xf numFmtId="0" fontId="7" fillId="0" borderId="38" pivotButton="0" quotePrefix="0" xfId="0"/>
    <xf numFmtId="0" fontId="7" fillId="0" borderId="13" pivotButton="0" quotePrefix="0" xfId="0"/>
    <xf numFmtId="3" fontId="2" fillId="2" borderId="8" applyAlignment="1" pivotButton="0" quotePrefix="0" xfId="0">
      <alignment horizontal="right"/>
    </xf>
    <xf numFmtId="0" fontId="3" fillId="0" borderId="31" applyAlignment="1" pivotButton="0" quotePrefix="0" xfId="0">
      <alignment horizontal="left" wrapText="1"/>
    </xf>
    <xf numFmtId="0" fontId="1" fillId="3" borderId="8" applyAlignment="1" pivotButton="0" quotePrefix="0" xfId="0">
      <alignment horizontal="left" vertical="center" wrapText="1"/>
    </xf>
    <xf numFmtId="175" fontId="1" fillId="3" borderId="8" applyAlignment="1" pivotButton="0" quotePrefix="0" xfId="0">
      <alignment horizontal="center" vertical="center" wrapText="1"/>
    </xf>
    <xf numFmtId="164" fontId="1" fillId="3" borderId="8" applyAlignment="1" pivotButton="0" quotePrefix="0" xfId="0">
      <alignment horizontal="center" vertical="center"/>
    </xf>
    <xf numFmtId="43" fontId="1" fillId="0" borderId="0" pivotButton="0" quotePrefix="0" xfId="0"/>
    <xf numFmtId="0" fontId="10" fillId="0" borderId="71" applyAlignment="1" pivotButton="0" quotePrefix="0" xfId="0">
      <alignment horizontal="left" vertical="center"/>
    </xf>
    <xf numFmtId="164" fontId="10" fillId="0" borderId="72" applyAlignment="1" pivotButton="0" quotePrefix="0" xfId="0">
      <alignment horizontal="left" vertical="center"/>
    </xf>
    <xf numFmtId="0" fontId="1" fillId="0" borderId="8" applyAlignment="1" pivotButton="0" quotePrefix="0" xfId="0">
      <alignment horizontal="center" wrapText="1"/>
    </xf>
    <xf numFmtId="0" fontId="1" fillId="2" borderId="1" applyAlignment="1" pivotButton="0" quotePrefix="0" xfId="0">
      <alignment wrapText="1"/>
    </xf>
    <xf numFmtId="164" fontId="1" fillId="0" borderId="8" pivotButton="0" quotePrefix="0" xfId="0"/>
    <xf numFmtId="0" fontId="1" fillId="0" borderId="8" applyAlignment="1" pivotButton="0" quotePrefix="0" xfId="0">
      <alignment horizontal="center"/>
    </xf>
    <xf numFmtId="164" fontId="1" fillId="3" borderId="8" applyAlignment="1" pivotButton="0" quotePrefix="0" xfId="0">
      <alignment horizontal="right"/>
    </xf>
    <xf numFmtId="9" fontId="1" fillId="0" borderId="0" pivotButton="0" quotePrefix="0" xfId="0"/>
    <xf numFmtId="2" fontId="10" fillId="2" borderId="8" applyAlignment="1" pivotButton="0" quotePrefix="0" xfId="0">
      <alignment horizontal="center" vertical="center"/>
    </xf>
    <xf numFmtId="0" fontId="2" fillId="3" borderId="67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left" vertical="center"/>
    </xf>
    <xf numFmtId="164" fontId="10" fillId="0" borderId="21" applyAlignment="1" pivotButton="0" quotePrefix="0" xfId="0">
      <alignment horizontal="left" vertical="center"/>
    </xf>
    <xf numFmtId="1" fontId="2" fillId="2" borderId="73" applyAlignment="1" pivotButton="0" quotePrefix="0" xfId="0">
      <alignment horizontal="center" vertical="center"/>
    </xf>
    <xf numFmtId="1" fontId="2" fillId="0" borderId="36" applyAlignment="1" pivotButton="0" quotePrefix="0" xfId="0">
      <alignment vertical="center"/>
    </xf>
    <xf numFmtId="0" fontId="2" fillId="0" borderId="61" applyAlignment="1" pivotButton="0" quotePrefix="0" xfId="0">
      <alignment horizontal="center"/>
    </xf>
    <xf numFmtId="0" fontId="2" fillId="0" borderId="68" pivotButton="0" quotePrefix="0" xfId="0"/>
    <xf numFmtId="0" fontId="1" fillId="3" borderId="8" applyAlignment="1" pivotButton="0" quotePrefix="0" xfId="0">
      <alignment horizontal="left" vertical="center"/>
    </xf>
    <xf numFmtId="0" fontId="2" fillId="3" borderId="73" applyAlignment="1" pivotButton="0" quotePrefix="0" xfId="0">
      <alignment horizontal="center" vertical="center"/>
    </xf>
    <xf numFmtId="0" fontId="2" fillId="0" borderId="74" applyAlignment="1" pivotButton="0" quotePrefix="0" xfId="0">
      <alignment horizontal="center"/>
    </xf>
    <xf numFmtId="0" fontId="1" fillId="0" borderId="75" pivotButton="0" quotePrefix="0" xfId="0"/>
    <xf numFmtId="170" fontId="2" fillId="2" borderId="9" applyAlignment="1" pivotButton="0" quotePrefix="0" xfId="0">
      <alignment horizontal="center"/>
    </xf>
    <xf numFmtId="0" fontId="1" fillId="3" borderId="58" applyAlignment="1" pivotButton="0" quotePrefix="0" xfId="0">
      <alignment horizontal="left"/>
    </xf>
    <xf numFmtId="0" fontId="2" fillId="3" borderId="57" applyAlignment="1" pivotButton="0" quotePrefix="0" xfId="0">
      <alignment horizontal="center" vertical="center"/>
    </xf>
    <xf numFmtId="170" fontId="10" fillId="0" borderId="21" applyAlignment="1" pivotButton="0" quotePrefix="0" xfId="0">
      <alignment horizontal="left" vertical="center"/>
    </xf>
    <xf numFmtId="172" fontId="2" fillId="3" borderId="73" applyAlignment="1" pivotButton="0" quotePrefix="0" xfId="0">
      <alignment horizontal="center" vertical="center" wrapText="1"/>
    </xf>
    <xf numFmtId="9" fontId="2" fillId="0" borderId="36" pivotButton="0" quotePrefix="0" xfId="0"/>
    <xf numFmtId="0" fontId="12" fillId="0" borderId="0" applyAlignment="1" pivotButton="0" quotePrefix="0" xfId="0">
      <alignment horizontal="left"/>
    </xf>
    <xf numFmtId="164" fontId="1" fillId="0" borderId="1" applyAlignment="1" pivotButton="0" quotePrefix="0" xfId="0">
      <alignment horizontal="center" wrapText="1"/>
    </xf>
    <xf numFmtId="0" fontId="14" fillId="0" borderId="0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0" fontId="1" fillId="0" borderId="31" applyAlignment="1" pivotButton="0" quotePrefix="0" xfId="0">
      <alignment horizontal="left" vertical="center" wrapText="1"/>
    </xf>
    <xf numFmtId="0" fontId="3" fillId="0" borderId="76" pivotButton="0" quotePrefix="0" xfId="0"/>
    <xf numFmtId="0" fontId="2" fillId="0" borderId="50" applyAlignment="1" pivotButton="0" quotePrefix="0" xfId="0">
      <alignment horizontal="center" vertical="center" textRotation="90"/>
    </xf>
    <xf numFmtId="0" fontId="1" fillId="0" borderId="4" applyAlignment="1" pivotButton="0" quotePrefix="0" xfId="0">
      <alignment wrapText="1"/>
    </xf>
    <xf numFmtId="9" fontId="2" fillId="2" borderId="4" applyAlignment="1" pivotButton="0" quotePrefix="0" xfId="0">
      <alignment horizontal="center"/>
    </xf>
    <xf numFmtId="1" fontId="2" fillId="2" borderId="50" applyAlignment="1" pivotButton="0" quotePrefix="0" xfId="0">
      <alignment horizontal="center" vertical="center"/>
    </xf>
    <xf numFmtId="168" fontId="2" fillId="2" borderId="4" applyAlignment="1" pivotButton="0" quotePrefix="0" xfId="0">
      <alignment horizontal="center"/>
    </xf>
    <xf numFmtId="164" fontId="1" fillId="3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2" applyAlignment="1" pivotButton="0" quotePrefix="0" xfId="0">
      <alignment wrapText="1"/>
    </xf>
    <xf numFmtId="0" fontId="1" fillId="0" borderId="77" pivotButton="0" quotePrefix="0" xfId="0"/>
    <xf numFmtId="0" fontId="1" fillId="0" borderId="6" pivotButton="0" quotePrefix="0" xfId="0"/>
    <xf numFmtId="3" fontId="2" fillId="0" borderId="50" applyAlignment="1" pivotButton="0" quotePrefix="0" xfId="0">
      <alignment horizontal="right"/>
    </xf>
    <xf numFmtId="164" fontId="2" fillId="0" borderId="8" applyAlignment="1" pivotButton="0" quotePrefix="0" xfId="0">
      <alignment horizontal="right"/>
    </xf>
    <xf numFmtId="0" fontId="10" fillId="0" borderId="78" applyAlignment="1" pivotButton="0" quotePrefix="0" xfId="0">
      <alignment horizontal="left" vertical="center"/>
    </xf>
    <xf numFmtId="164" fontId="10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1" fillId="0" borderId="81" applyAlignment="1" pivotButton="0" quotePrefix="0" xfId="0">
      <alignment horizontal="center"/>
    </xf>
    <xf numFmtId="0" fontId="1" fillId="3" borderId="20" applyAlignment="1" pivotButton="0" quotePrefix="0" xfId="0">
      <alignment horizontal="center"/>
    </xf>
    <xf numFmtId="0" fontId="1" fillId="2" borderId="82" applyAlignment="1" pivotButton="0" quotePrefix="0" xfId="0">
      <alignment horizontal="center" vertical="center"/>
    </xf>
    <xf numFmtId="0" fontId="7" fillId="0" borderId="70" pivotButton="0" quotePrefix="0" xfId="0"/>
    <xf numFmtId="0" fontId="1" fillId="0" borderId="9" applyAlignment="1" pivotButton="0" quotePrefix="0" xfId="0">
      <alignment wrapText="1"/>
    </xf>
    <xf numFmtId="168" fontId="2" fillId="2" borderId="9" applyAlignment="1" pivotButton="0" quotePrefix="0" xfId="0">
      <alignment horizontal="center"/>
    </xf>
    <xf numFmtId="0" fontId="1" fillId="0" borderId="44" applyAlignment="1" pivotButton="0" quotePrefix="0" xfId="0">
      <alignment wrapText="1"/>
    </xf>
    <xf numFmtId="0" fontId="2" fillId="0" borderId="17" pivotButton="0" quotePrefix="0" xfId="0"/>
    <xf numFmtId="4" fontId="12" fillId="0" borderId="8" applyAlignment="1" pivotButton="0" quotePrefix="0" xfId="0">
      <alignment horizontal="right"/>
    </xf>
    <xf numFmtId="164" fontId="12" fillId="0" borderId="8" applyAlignment="1" pivotButton="0" quotePrefix="0" xfId="0">
      <alignment horizontal="right"/>
    </xf>
    <xf numFmtId="3" fontId="12" fillId="0" borderId="1" applyAlignment="1" pivotButton="0" quotePrefix="0" xfId="0">
      <alignment horizontal="right"/>
    </xf>
    <xf numFmtId="0" fontId="2" fillId="5" borderId="83" pivotButton="0" quotePrefix="0" xfId="0"/>
    <xf numFmtId="0" fontId="2" fillId="5" borderId="84" applyAlignment="1" pivotButton="0" quotePrefix="0" xfId="0">
      <alignment horizontal="center"/>
    </xf>
    <xf numFmtId="0" fontId="7" fillId="0" borderId="85" pivotButton="0" quotePrefix="0" xfId="0"/>
    <xf numFmtId="0" fontId="1" fillId="0" borderId="86" applyAlignment="1" pivotButton="0" quotePrefix="0" xfId="0">
      <alignment vertical="center"/>
    </xf>
    <xf numFmtId="9" fontId="2" fillId="2" borderId="9" applyAlignment="1" pivotButton="0" quotePrefix="0" xfId="0">
      <alignment horizontal="center"/>
    </xf>
    <xf numFmtId="1" fontId="2" fillId="2" borderId="67" applyAlignment="1" pivotButton="0" quotePrefix="0" xfId="0">
      <alignment horizontal="center" vertical="center"/>
    </xf>
    <xf numFmtId="0" fontId="2" fillId="0" borderId="77" pivotButton="0" quotePrefix="0" xfId="0"/>
    <xf numFmtId="4" fontId="12" fillId="0" borderId="50" applyAlignment="1" pivotButton="0" quotePrefix="0" xfId="0">
      <alignment horizontal="right"/>
    </xf>
    <xf numFmtId="3" fontId="12" fillId="0" borderId="31" applyAlignment="1" pivotButton="0" quotePrefix="0" xfId="0">
      <alignment horizontal="right"/>
    </xf>
    <xf numFmtId="0" fontId="2" fillId="8" borderId="87" applyAlignment="1" pivotButton="0" quotePrefix="0" xfId="0">
      <alignment wrapText="1"/>
    </xf>
    <xf numFmtId="2" fontId="2" fillId="2" borderId="9" applyAlignment="1" pivotButton="0" quotePrefix="0" xfId="0">
      <alignment horizontal="center" vertical="center" wrapText="1"/>
    </xf>
    <xf numFmtId="2" fontId="2" fillId="2" borderId="4" applyAlignment="1" pivotButton="0" quotePrefix="0" xfId="0">
      <alignment horizontal="center"/>
    </xf>
    <xf numFmtId="0" fontId="2" fillId="3" borderId="88" applyAlignment="1" pivotButton="0" quotePrefix="0" xfId="0">
      <alignment horizontal="center"/>
    </xf>
    <xf numFmtId="0" fontId="1" fillId="0" borderId="89" applyAlignment="1" pivotButton="0" quotePrefix="0" xfId="0">
      <alignment vertical="center"/>
    </xf>
    <xf numFmtId="0" fontId="1" fillId="0" borderId="9" applyAlignment="1" pivotButton="0" quotePrefix="0" xfId="0">
      <alignment horizontal="left" wrapText="1"/>
    </xf>
    <xf numFmtId="0" fontId="2" fillId="0" borderId="2" pivotButton="0" quotePrefix="0" xfId="0"/>
    <xf numFmtId="164" fontId="12" fillId="0" borderId="2" applyAlignment="1" pivotButton="0" quotePrefix="0" xfId="0">
      <alignment horizontal="right"/>
    </xf>
    <xf numFmtId="3" fontId="12" fillId="0" borderId="2" applyAlignment="1" pivotButton="0" quotePrefix="0" xfId="0">
      <alignment horizontal="right"/>
    </xf>
    <xf numFmtId="0" fontId="1" fillId="0" borderId="90" applyAlignment="1" pivotButton="0" quotePrefix="0" xfId="0">
      <alignment vertical="center" wrapText="1"/>
    </xf>
    <xf numFmtId="2" fontId="2" fillId="2" borderId="91" applyAlignment="1" pivotButton="0" quotePrefix="0" xfId="0">
      <alignment horizontal="center"/>
    </xf>
    <xf numFmtId="0" fontId="2" fillId="3" borderId="91" applyAlignment="1" pivotButton="0" quotePrefix="0" xfId="0">
      <alignment horizontal="center" vertical="center" wrapText="1"/>
    </xf>
    <xf numFmtId="0" fontId="2" fillId="0" borderId="92" applyAlignment="1" pivotButton="0" quotePrefix="0" xfId="0">
      <alignment wrapText="1"/>
    </xf>
    <xf numFmtId="0" fontId="7" fillId="0" borderId="93" pivotButton="0" quotePrefix="0" xfId="0"/>
    <xf numFmtId="0" fontId="1" fillId="0" borderId="57" applyAlignment="1" pivotButton="0" quotePrefix="0" xfId="0">
      <alignment wrapText="1"/>
    </xf>
    <xf numFmtId="9" fontId="2" fillId="2" borderId="57" applyAlignment="1" pivotButton="0" quotePrefix="0" xfId="0">
      <alignment horizontal="center"/>
    </xf>
    <xf numFmtId="1" fontId="2" fillId="2" borderId="57" applyAlignment="1" pivotButton="0" quotePrefix="0" xfId="0">
      <alignment horizontal="center"/>
    </xf>
    <xf numFmtId="168" fontId="2" fillId="2" borderId="57" applyAlignment="1" pivotButton="0" quotePrefix="0" xfId="0">
      <alignment horizontal="center"/>
    </xf>
    <xf numFmtId="0" fontId="1" fillId="0" borderId="44" applyAlignment="1" pivotButton="0" quotePrefix="0" xfId="0">
      <alignment horizontal="left" wrapText="1"/>
    </xf>
    <xf numFmtId="0" fontId="1" fillId="0" borderId="94" applyAlignment="1" pivotButton="0" quotePrefix="0" xfId="0">
      <alignment horizontal="left"/>
    </xf>
    <xf numFmtId="0" fontId="1" fillId="0" borderId="93" applyAlignment="1" pivotButton="0" quotePrefix="0" xfId="0">
      <alignment horizontal="left"/>
    </xf>
    <xf numFmtId="171" fontId="2" fillId="2" borderId="95" applyAlignment="1" pivotButton="0" quotePrefix="0" xfId="0">
      <alignment horizontal="center"/>
    </xf>
    <xf numFmtId="171" fontId="2" fillId="0" borderId="46" applyAlignment="1" pivotButton="0" quotePrefix="0" xfId="0">
      <alignment horizontal="center"/>
    </xf>
    <xf numFmtId="164" fontId="1" fillId="0" borderId="8" applyAlignment="1" pivotButton="0" quotePrefix="0" xfId="0">
      <alignment horizontal="right"/>
    </xf>
    <xf numFmtId="0" fontId="1" fillId="0" borderId="90" applyAlignment="1" pivotButton="0" quotePrefix="0" xfId="0">
      <alignment wrapText="1"/>
    </xf>
    <xf numFmtId="0" fontId="2" fillId="3" borderId="9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1" fillId="0" borderId="96" applyAlignment="1" pivotButton="0" quotePrefix="0" xfId="0">
      <alignment horizontal="left"/>
    </xf>
    <xf numFmtId="0" fontId="1" fillId="0" borderId="8" applyAlignment="1" pivotButton="0" quotePrefix="0" xfId="0">
      <alignment horizontal="left"/>
    </xf>
    <xf numFmtId="168" fontId="2" fillId="2" borderId="8" applyAlignment="1" pivotButton="0" quotePrefix="0" xfId="0">
      <alignment horizontal="center"/>
    </xf>
    <xf numFmtId="168" fontId="2" fillId="0" borderId="1" applyAlignment="1" pivotButton="0" quotePrefix="0" xfId="0">
      <alignment horizontal="center"/>
    </xf>
    <xf numFmtId="0" fontId="1" fillId="0" borderId="4" pivotButton="0" quotePrefix="0" xfId="0"/>
    <xf numFmtId="2" fontId="2" fillId="2" borderId="6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/>
    </xf>
    <xf numFmtId="0" fontId="1" fillId="0" borderId="75" applyAlignment="1" pivotButton="0" quotePrefix="0" xfId="0">
      <alignment wrapText="1"/>
    </xf>
    <xf numFmtId="0" fontId="7" fillId="0" borderId="97" pivotButton="0" quotePrefix="0" xfId="0"/>
    <xf numFmtId="0" fontId="1" fillId="0" borderId="96" applyAlignment="1" pivotButton="0" quotePrefix="0" xfId="0">
      <alignment horizontal="left" wrapText="1"/>
    </xf>
    <xf numFmtId="0" fontId="1" fillId="0" borderId="8" applyAlignment="1" pivotButton="0" quotePrefix="0" xfId="0">
      <alignment horizontal="left" wrapText="1"/>
    </xf>
    <xf numFmtId="9" fontId="2" fillId="2" borderId="8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168" fontId="1" fillId="0" borderId="8" applyAlignment="1" pivotButton="0" quotePrefix="0" xfId="0">
      <alignment horizontal="center" wrapText="1"/>
    </xf>
    <xf numFmtId="3" fontId="1" fillId="0" borderId="8" applyAlignment="1" pivotButton="0" quotePrefix="0" xfId="0">
      <alignment horizontal="center"/>
    </xf>
    <xf numFmtId="3" fontId="1" fillId="0" borderId="8" applyAlignment="1" pivotButton="0" quotePrefix="0" xfId="0">
      <alignment horizontal="right"/>
    </xf>
    <xf numFmtId="0" fontId="1" fillId="0" borderId="9" applyAlignment="1" pivotButton="0" quotePrefix="0" xfId="0">
      <alignment vertical="center"/>
    </xf>
    <xf numFmtId="2" fontId="2" fillId="2" borderId="67" applyAlignment="1" pivotButton="0" quotePrefix="0" xfId="0">
      <alignment horizontal="center" vertical="center" wrapText="1"/>
    </xf>
    <xf numFmtId="0" fontId="1" fillId="0" borderId="98" applyAlignment="1" pivotButton="0" quotePrefix="0" xfId="0">
      <alignment horizontal="left"/>
    </xf>
    <xf numFmtId="0" fontId="1" fillId="0" borderId="99" applyAlignment="1" pivotButton="0" quotePrefix="0" xfId="0">
      <alignment horizontal="left"/>
    </xf>
    <xf numFmtId="168" fontId="2" fillId="0" borderId="100" applyAlignment="1" pivotButton="0" quotePrefix="0" xfId="0">
      <alignment horizontal="center"/>
    </xf>
    <xf numFmtId="0" fontId="1" fillId="0" borderId="101" pivotButton="0" quotePrefix="0" xfId="0"/>
    <xf numFmtId="0" fontId="1" fillId="0" borderId="102" pivotButton="0" quotePrefix="0" xfId="0"/>
    <xf numFmtId="3" fontId="2" fillId="0" borderId="102" applyAlignment="1" pivotButton="0" quotePrefix="0" xfId="0">
      <alignment horizontal="right"/>
    </xf>
    <xf numFmtId="3" fontId="2" fillId="0" borderId="102" pivotButton="0" quotePrefix="0" xfId="0"/>
    <xf numFmtId="2" fontId="2" fillId="2" borderId="103" applyAlignment="1" pivotButton="0" quotePrefix="0" xfId="0">
      <alignment vertical="center" wrapText="1"/>
    </xf>
    <xf numFmtId="1" fontId="2" fillId="2" borderId="4" applyAlignment="1" pivotButton="0" quotePrefix="0" xfId="0">
      <alignment horizontal="center"/>
    </xf>
    <xf numFmtId="164" fontId="1" fillId="3" borderId="8" pivotButton="0" quotePrefix="0" xfId="0"/>
    <xf numFmtId="168" fontId="2" fillId="2" borderId="91" applyAlignment="1" pivotButton="0" quotePrefix="0" xfId="0">
      <alignment horizontal="center"/>
    </xf>
    <xf numFmtId="0" fontId="10" fillId="0" borderId="24" applyAlignment="1" pivotButton="0" quotePrefix="0" xfId="0">
      <alignment horizontal="left"/>
    </xf>
    <xf numFmtId="0" fontId="10" fillId="0" borderId="25" applyAlignment="1" pivotButton="0" quotePrefix="0" xfId="0">
      <alignment horizontal="left"/>
    </xf>
    <xf numFmtId="0" fontId="10" fillId="0" borderId="71" applyAlignment="1" pivotButton="0" quotePrefix="0" xfId="0">
      <alignment horizontal="left"/>
    </xf>
    <xf numFmtId="168" fontId="2" fillId="0" borderId="104" applyAlignment="1" pivotButton="0" quotePrefix="0" xfId="0">
      <alignment horizontal="right"/>
    </xf>
    <xf numFmtId="3" fontId="2" fillId="0" borderId="25" pivotButton="0" quotePrefix="0" xfId="0"/>
    <xf numFmtId="175" fontId="1" fillId="0" borderId="0" pivotButton="0" quotePrefix="0" xfId="0"/>
    <xf numFmtId="0" fontId="1" fillId="0" borderId="105" applyAlignment="1" pivotButton="0" quotePrefix="0" xfId="0">
      <alignment wrapText="1"/>
    </xf>
    <xf numFmtId="2" fontId="2" fillId="2" borderId="91" applyAlignment="1" pivotButton="0" quotePrefix="0" xfId="0">
      <alignment vertical="center" wrapText="1"/>
    </xf>
    <xf numFmtId="0" fontId="2" fillId="3" borderId="106" applyAlignment="1" pivotButton="0" quotePrefix="0" xfId="0">
      <alignment horizontal="center"/>
    </xf>
    <xf numFmtId="1" fontId="2" fillId="2" borderId="9" applyAlignment="1" pivotButton="0" quotePrefix="0" xfId="0">
      <alignment horizontal="center"/>
    </xf>
    <xf numFmtId="0" fontId="15" fillId="0" borderId="64" applyAlignment="1" pivotButton="0" quotePrefix="0" xfId="0">
      <alignment horizontal="left"/>
    </xf>
    <xf numFmtId="0" fontId="16" fillId="0" borderId="40" applyAlignment="1" pivotButton="0" quotePrefix="0" xfId="0">
      <alignment horizontal="left"/>
    </xf>
    <xf numFmtId="0" fontId="2" fillId="0" borderId="1" applyAlignment="1" pivotButton="0" quotePrefix="0" xfId="0">
      <alignment horizontal="center" wrapText="1"/>
    </xf>
    <xf numFmtId="3" fontId="1" fillId="3" borderId="8" applyAlignment="1" pivotButton="0" quotePrefix="0" xfId="0">
      <alignment horizontal="right"/>
    </xf>
    <xf numFmtId="0" fontId="1" fillId="3" borderId="8" applyAlignment="1" pivotButton="0" quotePrefix="0" xfId="0">
      <alignment horizontal="center"/>
    </xf>
    <xf numFmtId="9" fontId="1" fillId="3" borderId="3" pivotButton="0" quotePrefix="0" xfId="0"/>
    <xf numFmtId="168" fontId="2" fillId="2" borderId="61" applyAlignment="1" pivotButton="0" quotePrefix="0" xfId="0">
      <alignment horizontal="center" vertical="center"/>
    </xf>
    <xf numFmtId="0" fontId="14" fillId="0" borderId="0" pivotButton="0" quotePrefix="0" xfId="0"/>
    <xf numFmtId="3" fontId="2" fillId="0" borderId="8" applyAlignment="1" pivotButton="0" quotePrefix="0" xfId="0">
      <alignment horizontal="right"/>
    </xf>
    <xf numFmtId="168" fontId="1" fillId="0" borderId="1" applyAlignment="1" pivotButton="0" quotePrefix="0" xfId="0">
      <alignment horizontal="center"/>
    </xf>
    <xf numFmtId="0" fontId="1" fillId="0" borderId="90" pivotButton="0" quotePrefix="0" xfId="0"/>
    <xf numFmtId="0" fontId="2" fillId="3" borderId="107" applyAlignment="1" pivotButton="0" quotePrefix="0" xfId="0">
      <alignment horizontal="center"/>
    </xf>
    <xf numFmtId="0" fontId="1" fillId="2" borderId="1" applyAlignment="1" pivotButton="0" quotePrefix="0" xfId="0">
      <alignment horizontal="left" wrapText="1"/>
    </xf>
    <xf numFmtId="168" fontId="1" fillId="2" borderId="8" applyAlignment="1" pivotButton="0" quotePrefix="0" xfId="0">
      <alignment horizontal="center" wrapText="1"/>
    </xf>
    <xf numFmtId="3" fontId="1" fillId="2" borderId="8" pivotButton="0" quotePrefix="0" xfId="0"/>
    <xf numFmtId="3" fontId="1" fillId="2" borderId="8" applyAlignment="1" pivotButton="0" quotePrefix="0" xfId="0">
      <alignment horizontal="right"/>
    </xf>
    <xf numFmtId="9" fontId="1" fillId="0" borderId="8" pivotButton="0" quotePrefix="0" xfId="0"/>
    <xf numFmtId="0" fontId="1" fillId="0" borderId="1" applyAlignment="1" pivotButton="0" quotePrefix="0" xfId="0">
      <alignment horizontal="left" wrapText="1"/>
    </xf>
    <xf numFmtId="168" fontId="1" fillId="0" borderId="8" applyAlignment="1" pivotButton="0" quotePrefix="0" xfId="0">
      <alignment wrapText="1"/>
    </xf>
    <xf numFmtId="3" fontId="1" fillId="0" borderId="8" pivotButton="0" quotePrefix="0" xfId="0"/>
    <xf numFmtId="0" fontId="1" fillId="0" borderId="90" applyAlignment="1" pivotButton="0" quotePrefix="0" xfId="0">
      <alignment horizontal="left"/>
    </xf>
    <xf numFmtId="0" fontId="2" fillId="3" borderId="91" applyAlignment="1" pivotButton="0" quotePrefix="0" xfId="0">
      <alignment horizontal="center"/>
    </xf>
    <xf numFmtId="0" fontId="2" fillId="3" borderId="8" pivotButton="0" quotePrefix="0" xfId="0"/>
    <xf numFmtId="168" fontId="10" fillId="3" borderId="21" applyAlignment="1" pivotButton="0" quotePrefix="0" xfId="0">
      <alignment horizontal="center"/>
    </xf>
    <xf numFmtId="2" fontId="1" fillId="0" borderId="8" applyAlignment="1" pivotButton="0" quotePrefix="0" xfId="0">
      <alignment horizontal="center" wrapText="1"/>
    </xf>
    <xf numFmtId="2" fontId="14" fillId="2" borderId="8" applyAlignment="1" pivotButton="0" quotePrefix="0" xfId="0">
      <alignment horizontal="right" wrapText="1"/>
    </xf>
    <xf numFmtId="0" fontId="1" fillId="0" borderId="40" applyAlignment="1" pivotButton="0" quotePrefix="0" xfId="0">
      <alignment horizontal="center" wrapText="1"/>
    </xf>
    <xf numFmtId="0" fontId="1" fillId="3" borderId="3" applyAlignment="1" pivotButton="0" quotePrefix="0" xfId="0">
      <alignment horizontal="left"/>
    </xf>
    <xf numFmtId="2" fontId="1" fillId="3" borderId="3" applyAlignment="1" pivotButton="0" quotePrefix="0" xfId="0">
      <alignment horizontal="center" wrapText="1"/>
    </xf>
    <xf numFmtId="0" fontId="1" fillId="3" borderId="3" pivotButton="0" quotePrefix="0" xfId="0"/>
    <xf numFmtId="2" fontId="1" fillId="3" borderId="12" applyAlignment="1" pivotButton="0" quotePrefix="0" xfId="0">
      <alignment horizontal="right" wrapText="1"/>
    </xf>
    <xf numFmtId="171" fontId="2" fillId="5" borderId="69" applyAlignment="1" pivotButton="0" quotePrefix="0" xfId="0">
      <alignment horizontal="center"/>
    </xf>
    <xf numFmtId="171" fontId="2" fillId="5" borderId="108" applyAlignment="1" pivotButton="0" quotePrefix="0" xfId="0">
      <alignment horizontal="center"/>
    </xf>
    <xf numFmtId="0" fontId="1" fillId="0" borderId="8" applyAlignment="1" pivotButton="0" quotePrefix="0" xfId="0">
      <alignment wrapText="1"/>
    </xf>
    <xf numFmtId="0" fontId="2" fillId="3" borderId="8" applyAlignment="1" pivotButton="0" quotePrefix="0" xfId="0">
      <alignment horizontal="right"/>
    </xf>
    <xf numFmtId="2" fontId="2" fillId="2" borderId="8" applyAlignment="1" pivotButton="0" quotePrefix="0" xfId="0">
      <alignment horizontal="center"/>
    </xf>
    <xf numFmtId="4" fontId="2" fillId="3" borderId="8" applyAlignment="1" pivotButton="0" quotePrefix="0" xfId="0">
      <alignment horizontal="right"/>
    </xf>
    <xf numFmtId="176" fontId="1" fillId="0" borderId="8" pivotButton="0" quotePrefix="0" xfId="0"/>
    <xf numFmtId="0" fontId="1" fillId="0" borderId="0" applyAlignment="1" pivotButton="0" quotePrefix="0" xfId="0">
      <alignment wrapText="1"/>
    </xf>
    <xf numFmtId="0" fontId="2" fillId="3" borderId="69" applyAlignment="1" pivotButton="0" quotePrefix="0" xfId="0">
      <alignment horizontal="right"/>
    </xf>
    <xf numFmtId="2" fontId="2" fillId="3" borderId="8" applyAlignment="1" pivotButton="0" quotePrefix="0" xfId="0">
      <alignment horizontal="center"/>
    </xf>
    <xf numFmtId="0" fontId="2" fillId="3" borderId="69" pivotButton="0" quotePrefix="0" xfId="0"/>
    <xf numFmtId="0" fontId="2" fillId="3" borderId="28" pivotButton="0" quotePrefix="0" xfId="0"/>
    <xf numFmtId="0" fontId="2" fillId="3" borderId="29" pivotButton="0" quotePrefix="0" xfId="0"/>
    <xf numFmtId="0" fontId="2" fillId="3" borderId="103" applyAlignment="1" pivotButton="0" quotePrefix="0" xfId="0">
      <alignment horizontal="center"/>
    </xf>
    <xf numFmtId="0" fontId="2" fillId="3" borderId="109" applyAlignment="1" pivotButton="0" quotePrefix="0" xfId="0">
      <alignment horizontal="center"/>
    </xf>
    <xf numFmtId="0" fontId="1" fillId="0" borderId="57" applyAlignment="1" pivotButton="0" quotePrefix="0" xfId="0">
      <alignment horizontal="left" wrapText="1"/>
    </xf>
    <xf numFmtId="0" fontId="1" fillId="0" borderId="46" pivotButton="0" quotePrefix="0" xfId="0"/>
    <xf numFmtId="0" fontId="1" fillId="0" borderId="48" pivotButton="0" quotePrefix="0" xfId="0"/>
    <xf numFmtId="43" fontId="1" fillId="0" borderId="49" applyAlignment="1" pivotButton="0" quotePrefix="0" xfId="0">
      <alignment horizontal="right"/>
    </xf>
    <xf numFmtId="0" fontId="1" fillId="0" borderId="2" pivotButton="0" quotePrefix="0" xfId="0"/>
    <xf numFmtId="0" fontId="1" fillId="3" borderId="28" pivotButton="0" quotePrefix="0" xfId="0"/>
    <xf numFmtId="0" fontId="1" fillId="3" borderId="29" applyAlignment="1" pivotButton="0" quotePrefix="0" xfId="0">
      <alignment horizontal="right"/>
    </xf>
    <xf numFmtId="164" fontId="6" fillId="3" borderId="8" pivotButton="0" quotePrefix="0" xfId="0"/>
    <xf numFmtId="0" fontId="1" fillId="0" borderId="31" applyAlignment="1" pivotButton="0" quotePrefix="0" xfId="0">
      <alignment horizontal="right"/>
    </xf>
    <xf numFmtId="1" fontId="2" fillId="0" borderId="32" applyAlignment="1" pivotButton="0" quotePrefix="0" xfId="0">
      <alignment horizontal="left"/>
    </xf>
    <xf numFmtId="0" fontId="1" fillId="0" borderId="32" pivotButton="0" quotePrefix="0" xfId="0"/>
    <xf numFmtId="0" fontId="1" fillId="0" borderId="32" applyAlignment="1" pivotButton="0" quotePrefix="0" xfId="0">
      <alignment horizontal="center"/>
    </xf>
    <xf numFmtId="43" fontId="1" fillId="0" borderId="6" applyAlignment="1" pivotButton="0" quotePrefix="0" xfId="0">
      <alignment horizontal="right"/>
    </xf>
    <xf numFmtId="0" fontId="1" fillId="0" borderId="6" applyAlignment="1" pivotButton="0" quotePrefix="0" xfId="0">
      <alignment horizontal="right"/>
    </xf>
    <xf numFmtId="0" fontId="2" fillId="3" borderId="110" applyAlignment="1" pivotButton="0" quotePrefix="0" xfId="0">
      <alignment horizontal="center"/>
    </xf>
    <xf numFmtId="0" fontId="2" fillId="0" borderId="40" pivotButton="0" quotePrefix="0" xfId="0"/>
    <xf numFmtId="0" fontId="2" fillId="0" borderId="48" applyAlignment="1" pivotButton="0" quotePrefix="0" xfId="0">
      <alignment horizontal="center"/>
    </xf>
    <xf numFmtId="1" fontId="2" fillId="0" borderId="0" pivotButton="0" quotePrefix="0" xfId="0"/>
    <xf numFmtId="0" fontId="1" fillId="0" borderId="14" pivotButton="0" quotePrefix="0" xfId="0"/>
    <xf numFmtId="0" fontId="1" fillId="0" borderId="48" applyAlignment="1" pivotButton="0" quotePrefix="0" xfId="0">
      <alignment horizontal="center"/>
    </xf>
    <xf numFmtId="171" fontId="2" fillId="5" borderId="1" applyAlignment="1" pivotButton="0" quotePrefix="0" xfId="0">
      <alignment horizontal="center"/>
    </xf>
    <xf numFmtId="168" fontId="1" fillId="2" borderId="9" applyAlignment="1" pivotButton="0" quotePrefix="0" xfId="0">
      <alignment horizontal="center"/>
    </xf>
    <xf numFmtId="164" fontId="2" fillId="3" borderId="4" applyAlignment="1" pivotButton="0" quotePrefix="0" xfId="0">
      <alignment horizontal="center"/>
    </xf>
    <xf numFmtId="2" fontId="1" fillId="9" borderId="8" pivotButton="0" quotePrefix="0" xfId="0"/>
    <xf numFmtId="164" fontId="1" fillId="2" borderId="8" applyAlignment="1" pivotButton="0" quotePrefix="0" xfId="0">
      <alignment horizontal="right"/>
    </xf>
    <xf numFmtId="1" fontId="1" fillId="0" borderId="0" applyAlignment="1" pivotButton="0" quotePrefix="0" xfId="0">
      <alignment horizontal="left"/>
    </xf>
    <xf numFmtId="2" fontId="2" fillId="0" borderId="8" applyAlignment="1" pivotButton="0" quotePrefix="0" xfId="0">
      <alignment horizontal="center"/>
    </xf>
    <xf numFmtId="1" fontId="2" fillId="2" borderId="67" applyAlignment="1" pivotButton="0" quotePrefix="0" xfId="0">
      <alignment horizontal="center"/>
    </xf>
    <xf numFmtId="3" fontId="2" fillId="2" borderId="8" applyAlignment="1" pivotButton="0" quotePrefix="0" xfId="0">
      <alignment horizontal="center"/>
    </xf>
    <xf numFmtId="3" fontId="2" fillId="0" borderId="8" applyAlignment="1" pivotButton="0" quotePrefix="0" xfId="0">
      <alignment horizontal="center"/>
    </xf>
    <xf numFmtId="2" fontId="2" fillId="2" borderId="57" applyAlignment="1" pivotButton="0" quotePrefix="0" xfId="0">
      <alignment horizontal="center"/>
    </xf>
    <xf numFmtId="2" fontId="1" fillId="0" borderId="8" pivotButton="0" quotePrefix="0" xfId="0"/>
    <xf numFmtId="9" fontId="2" fillId="0" borderId="8" applyAlignment="1" pivotButton="0" quotePrefix="0" xfId="0">
      <alignment horizontal="center"/>
    </xf>
    <xf numFmtId="0" fontId="2" fillId="3" borderId="96" pivotButton="0" quotePrefix="0" xfId="0"/>
    <xf numFmtId="2" fontId="10" fillId="3" borderId="8" applyAlignment="1" pivotButton="0" quotePrefix="0" xfId="0">
      <alignment horizontal="center"/>
    </xf>
    <xf numFmtId="43" fontId="10" fillId="3" borderId="106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" fontId="2" fillId="2" borderId="8" applyAlignment="1" pivotButton="0" quotePrefix="0" xfId="0">
      <alignment horizontal="center"/>
    </xf>
    <xf numFmtId="1" fontId="2" fillId="0" borderId="8" applyAlignment="1" pivotButton="0" quotePrefix="0" xfId="0">
      <alignment horizontal="center"/>
    </xf>
    <xf numFmtId="2" fontId="10" fillId="3" borderId="95" applyAlignment="1" pivotButton="0" quotePrefix="0" xfId="0">
      <alignment horizontal="center"/>
    </xf>
    <xf numFmtId="0" fontId="2" fillId="3" borderId="83" pivotButton="0" quotePrefix="0" xfId="0"/>
    <xf numFmtId="164" fontId="12" fillId="3" borderId="8" applyAlignment="1" pivotButton="0" quotePrefix="0" xfId="0">
      <alignment horizontal="right"/>
    </xf>
    <xf numFmtId="3" fontId="2" fillId="0" borderId="0" pivotButton="0" quotePrefix="0" xfId="0"/>
    <xf numFmtId="0" fontId="12" fillId="5" borderId="83" applyAlignment="1" pivotButton="0" quotePrefix="0" xfId="0">
      <alignment horizontal="center"/>
    </xf>
    <xf numFmtId="43" fontId="12" fillId="5" borderId="28" applyAlignment="1" pivotButton="0" quotePrefix="0" xfId="0">
      <alignment horizontal="center"/>
    </xf>
    <xf numFmtId="0" fontId="12" fillId="5" borderId="28" applyAlignment="1" pivotButton="0" quotePrefix="0" xfId="0">
      <alignment horizontal="center"/>
    </xf>
    <xf numFmtId="0" fontId="2" fillId="3" borderId="111" pivotButton="0" quotePrefix="0" xfId="0"/>
    <xf numFmtId="0" fontId="2" fillId="3" borderId="30" pivotButton="0" quotePrefix="0" xfId="0"/>
    <xf numFmtId="164" fontId="12" fillId="3" borderId="30" applyAlignment="1" pivotButton="0" quotePrefix="0" xfId="0">
      <alignment horizontal="right"/>
    </xf>
    <xf numFmtId="0" fontId="2" fillId="0" borderId="0" pivotButton="0" quotePrefix="0" xfId="0"/>
    <xf numFmtId="169" fontId="2" fillId="2" borderId="8" applyAlignment="1" pivotButton="0" quotePrefix="0" xfId="0">
      <alignment vertical="center" wrapText="1"/>
    </xf>
    <xf numFmtId="164" fontId="2" fillId="0" borderId="8" applyAlignment="1" pivotButton="0" quotePrefix="0" xfId="0">
      <alignment horizontal="center" wrapText="1"/>
    </xf>
    <xf numFmtId="0" fontId="1" fillId="0" borderId="87" applyAlignment="1" pivotButton="0" quotePrefix="0" xfId="0">
      <alignment wrapText="1"/>
    </xf>
    <xf numFmtId="0" fontId="2" fillId="2" borderId="9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1" fillId="0" borderId="13" applyAlignment="1" pivotButton="0" quotePrefix="0" xfId="0">
      <alignment wrapText="1"/>
    </xf>
    <xf numFmtId="9" fontId="2" fillId="2" borderId="91" applyAlignment="1" pivotButton="0" quotePrefix="0" xfId="0">
      <alignment horizontal="center"/>
    </xf>
    <xf numFmtId="1" fontId="2" fillId="2" borderId="91" applyAlignment="1" pivotButton="0" quotePrefix="0" xfId="0">
      <alignment horizontal="center"/>
    </xf>
    <xf numFmtId="168" fontId="2" fillId="2" borderId="91" applyAlignment="1" pivotButton="0" quotePrefix="0" xfId="0">
      <alignment horizontal="center" wrapText="1"/>
    </xf>
    <xf numFmtId="3" fontId="12" fillId="3" borderId="28" applyAlignment="1" pivotButton="0" quotePrefix="0" xfId="0">
      <alignment horizontal="right"/>
    </xf>
    <xf numFmtId="175" fontId="1" fillId="0" borderId="8" pivotButton="0" quotePrefix="0" xfId="0"/>
    <xf numFmtId="164" fontId="1" fillId="0" borderId="0" applyAlignment="1" pivotButton="0" quotePrefix="0" xfId="0">
      <alignment horizontal="right"/>
    </xf>
    <xf numFmtId="0" fontId="12" fillId="5" borderId="108" applyAlignment="1" pivotButton="0" quotePrefix="0" xfId="0">
      <alignment horizontal="center"/>
    </xf>
    <xf numFmtId="9" fontId="2" fillId="2" borderId="67" applyAlignment="1" pivotButton="0" quotePrefix="0" xfId="0">
      <alignment horizontal="center" vertical="center"/>
    </xf>
    <xf numFmtId="0" fontId="2" fillId="3" borderId="112" pivotButton="0" quotePrefix="0" xfId="0"/>
    <xf numFmtId="0" fontId="2" fillId="3" borderId="106" pivotButton="0" quotePrefix="0" xfId="0"/>
    <xf numFmtId="169" fontId="12" fillId="3" borderId="106" applyAlignment="1" pivotButton="0" quotePrefix="0" xfId="0">
      <alignment horizontal="right"/>
    </xf>
    <xf numFmtId="168" fontId="2" fillId="0" borderId="8" applyAlignment="1" pivotButton="0" quotePrefix="0" xfId="0">
      <alignment horizontal="center"/>
    </xf>
    <xf numFmtId="0" fontId="17" fillId="0" borderId="96" applyAlignment="1" pivotButton="0" quotePrefix="0" xfId="0">
      <alignment vertical="center"/>
    </xf>
    <xf numFmtId="1" fontId="2" fillId="2" borderId="61" applyAlignment="1" pivotButton="0" quotePrefix="0" xfId="0">
      <alignment horizontal="center"/>
    </xf>
    <xf numFmtId="171" fontId="12" fillId="0" borderId="2" applyAlignment="1" pivotButton="0" quotePrefix="0" xfId="0">
      <alignment horizontal="right"/>
    </xf>
    <xf numFmtId="9" fontId="2" fillId="2" borderId="61" applyAlignment="1" pivotButton="0" quotePrefix="0" xfId="0">
      <alignment horizontal="center"/>
    </xf>
    <xf numFmtId="164" fontId="2" fillId="3" borderId="9" applyAlignment="1" pivotButton="0" quotePrefix="0" xfId="0">
      <alignment horizontal="center"/>
    </xf>
    <xf numFmtId="0" fontId="1" fillId="0" borderId="96" pivotButton="0" quotePrefix="0" xfId="0"/>
    <xf numFmtId="168" fontId="2" fillId="2" borderId="69" applyAlignment="1" pivotButton="0" quotePrefix="0" xfId="0">
      <alignment horizontal="center"/>
    </xf>
    <xf numFmtId="168" fontId="2" fillId="0" borderId="2" applyAlignment="1" pivotButton="0" quotePrefix="0" xfId="0">
      <alignment horizontal="center"/>
    </xf>
    <xf numFmtId="0" fontId="1" fillId="0" borderId="96" applyAlignment="1" pivotButton="0" quotePrefix="0" xfId="0">
      <alignment wrapText="1"/>
    </xf>
    <xf numFmtId="172" fontId="2" fillId="2" borderId="61" applyAlignment="1" pivotButton="0" quotePrefix="0" xfId="0">
      <alignment horizontal="center"/>
    </xf>
    <xf numFmtId="168" fontId="1" fillId="2" borderId="57" applyAlignment="1" pivotButton="0" quotePrefix="0" xfId="0">
      <alignment horizontal="center"/>
    </xf>
    <xf numFmtId="0" fontId="18" fillId="0" borderId="50" applyAlignment="1" pivotButton="0" quotePrefix="0" xfId="0">
      <alignment horizontal="center" vertical="center" textRotation="90"/>
    </xf>
    <xf numFmtId="168" fontId="2" fillId="6" borderId="8" applyAlignment="1" pivotButton="0" quotePrefix="0" xfId="0">
      <alignment horizontal="center"/>
    </xf>
    <xf numFmtId="0" fontId="2" fillId="0" borderId="8" applyAlignment="1" pivotButton="0" quotePrefix="0" xfId="0">
      <alignment horizontal="left"/>
    </xf>
    <xf numFmtId="0" fontId="2" fillId="0" borderId="40" applyAlignment="1" pivotButton="0" quotePrefix="0" xfId="0">
      <alignment horizontal="left"/>
    </xf>
    <xf numFmtId="2" fontId="2" fillId="2" borderId="61" applyAlignment="1" pivotButton="0" quotePrefix="0" xfId="0">
      <alignment horizontal="center"/>
    </xf>
    <xf numFmtId="0" fontId="10" fillId="3" borderId="88" pivotButton="0" quotePrefix="0" xfId="0"/>
    <xf numFmtId="0" fontId="2" fillId="3" borderId="113" applyAlignment="1" pivotButton="0" quotePrefix="0" xfId="0">
      <alignment horizontal="center"/>
    </xf>
    <xf numFmtId="168" fontId="2" fillId="3" borderId="113" applyAlignment="1" pivotButton="0" quotePrefix="0" xfId="0">
      <alignment horizontal="center"/>
    </xf>
    <xf numFmtId="164" fontId="2" fillId="3" borderId="30" applyAlignment="1" pivotButton="0" quotePrefix="0" xfId="0">
      <alignment horizontal="center"/>
    </xf>
    <xf numFmtId="0" fontId="1" fillId="0" borderId="114" pivotButton="0" quotePrefix="0" xfId="0"/>
    <xf numFmtId="168" fontId="2" fillId="3" borderId="8" applyAlignment="1" pivotButton="0" quotePrefix="0" xfId="0">
      <alignment horizontal="center"/>
    </xf>
    <xf numFmtId="168" fontId="2" fillId="0" borderId="31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3" fontId="2" fillId="0" borderId="0" applyAlignment="1" pivotButton="0" quotePrefix="0" xfId="0">
      <alignment horizontal="right"/>
    </xf>
    <xf numFmtId="0" fontId="1" fillId="0" borderId="115" applyAlignment="1" pivotButton="0" quotePrefix="0" xfId="0">
      <alignment wrapText="1"/>
    </xf>
    <xf numFmtId="168" fontId="2" fillId="0" borderId="9" applyAlignment="1" pivotButton="0" quotePrefix="0" xfId="0">
      <alignment horizontal="center"/>
    </xf>
    <xf numFmtId="168" fontId="2" fillId="0" borderId="57" applyAlignment="1" pivotButton="0" quotePrefix="0" xfId="0">
      <alignment horizontal="center"/>
    </xf>
    <xf numFmtId="0" fontId="2" fillId="3" borderId="95" applyAlignment="1" pivotButton="0" quotePrefix="0" xfId="0">
      <alignment horizontal="center"/>
    </xf>
    <xf numFmtId="0" fontId="10" fillId="0" borderId="50" applyAlignment="1" pivotButton="0" quotePrefix="0" xfId="0">
      <alignment horizontal="center" vertical="center" textRotation="90"/>
    </xf>
    <xf numFmtId="0" fontId="2" fillId="0" borderId="1" applyAlignment="1" pivotButton="0" quotePrefix="0" xfId="0">
      <alignment horizontal="left" vertical="center" wrapText="1"/>
    </xf>
    <xf numFmtId="0" fontId="2" fillId="0" borderId="50" applyAlignment="1" pivotButton="0" quotePrefix="0" xfId="0">
      <alignment horizontal="center"/>
    </xf>
    <xf numFmtId="164" fontId="2" fillId="2" borderId="30" applyAlignment="1" pivotButton="0" quotePrefix="0" xfId="0">
      <alignment horizontal="center"/>
    </xf>
    <xf numFmtId="175" fontId="2" fillId="0" borderId="6" applyAlignment="1" pivotButton="0" quotePrefix="0" xfId="0">
      <alignment horizontal="center"/>
    </xf>
    <xf numFmtId="0" fontId="1" fillId="0" borderId="116" pivotButton="0" quotePrefix="0" xfId="0"/>
    <xf numFmtId="0" fontId="1" fillId="0" borderId="117" applyAlignment="1" pivotButton="0" quotePrefix="0" xfId="0">
      <alignment horizontal="center"/>
    </xf>
    <xf numFmtId="0" fontId="2" fillId="0" borderId="117" pivotButton="0" quotePrefix="0" xfId="0"/>
    <xf numFmtId="0" fontId="2" fillId="0" borderId="46" applyAlignment="1" pivotButton="0" quotePrefix="0" xfId="0">
      <alignment horizontal="left"/>
    </xf>
    <xf numFmtId="0" fontId="18" fillId="0" borderId="48" applyAlignment="1" pivotButton="0" quotePrefix="0" xfId="0">
      <alignment horizontal="left"/>
    </xf>
    <xf numFmtId="164" fontId="2" fillId="0" borderId="48" applyAlignment="1" pivotButton="0" quotePrefix="0" xfId="0">
      <alignment horizontal="right"/>
    </xf>
    <xf numFmtId="0" fontId="1" fillId="0" borderId="49" pivotButton="0" quotePrefix="0" xfId="0"/>
    <xf numFmtId="0" fontId="2" fillId="0" borderId="48" applyAlignment="1" pivotButton="0" quotePrefix="0" xfId="0">
      <alignment horizontal="left"/>
    </xf>
    <xf numFmtId="3" fontId="2" fillId="0" borderId="48" applyAlignment="1" pivotButton="0" quotePrefix="0" xfId="0">
      <alignment horizontal="right"/>
    </xf>
    <xf numFmtId="168" fontId="10" fillId="3" borderId="8" applyAlignment="1" pivotButton="0" quotePrefix="0" xfId="0">
      <alignment horizontal="center"/>
    </xf>
    <xf numFmtId="0" fontId="10" fillId="3" borderId="8" applyAlignment="1" pivotButton="0" quotePrefix="0" xfId="0">
      <alignment horizontal="center"/>
    </xf>
    <xf numFmtId="170" fontId="2" fillId="2" borderId="8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43" fontId="1" fillId="0" borderId="102" pivotButton="0" quotePrefix="0" xfId="0"/>
    <xf numFmtId="0" fontId="1" fillId="3" borderId="118" pivotButton="0" quotePrefix="0" xfId="0"/>
    <xf numFmtId="0" fontId="1" fillId="5" borderId="8" pivotButton="0" quotePrefix="0" xfId="0"/>
    <xf numFmtId="0" fontId="1" fillId="5" borderId="21" applyAlignment="1" pivotButton="0" quotePrefix="0" xfId="0">
      <alignment horizontal="center"/>
    </xf>
    <xf numFmtId="168" fontId="2" fillId="2" borderId="30" applyAlignment="1" pivotButton="0" quotePrefix="0" xfId="0">
      <alignment horizontal="center"/>
    </xf>
    <xf numFmtId="0" fontId="10" fillId="0" borderId="31" applyAlignment="1" pivotButton="0" quotePrefix="0" xfId="0">
      <alignment vertical="center" textRotation="90"/>
    </xf>
    <xf numFmtId="0" fontId="10" fillId="0" borderId="32" pivotButton="0" quotePrefix="0" xfId="0"/>
    <xf numFmtId="164" fontId="1" fillId="0" borderId="32" pivotButton="0" quotePrefix="0" xfId="0"/>
    <xf numFmtId="0" fontId="2" fillId="0" borderId="6" applyAlignment="1" pivotButton="0" quotePrefix="0" xfId="0">
      <alignment horizontal="center"/>
    </xf>
    <xf numFmtId="43" fontId="5" fillId="2" borderId="8" applyAlignment="1" pivotButton="0" quotePrefix="0" xfId="0">
      <alignment horizontal="center"/>
    </xf>
    <xf numFmtId="0" fontId="2" fillId="0" borderId="1" pivotButton="0" quotePrefix="0" xfId="0"/>
    <xf numFmtId="0" fontId="2" fillId="0" borderId="17" applyAlignment="1" pivotButton="0" quotePrefix="0" xfId="0">
      <alignment horizontal="right"/>
    </xf>
    <xf numFmtId="0" fontId="12" fillId="10" borderId="8" applyAlignment="1" pivotButton="0" quotePrefix="0" xfId="0">
      <alignment horizontal="left" vertical="center"/>
    </xf>
    <xf numFmtId="0" fontId="12" fillId="10" borderId="8" applyAlignment="1" pivotButton="0" quotePrefix="0" xfId="0">
      <alignment horizontal="center" vertical="center"/>
    </xf>
    <xf numFmtId="0" fontId="10" fillId="10" borderId="8" applyAlignment="1" pivotButton="0" quotePrefix="0" xfId="0">
      <alignment horizontal="center" vertical="center" wrapText="1"/>
    </xf>
    <xf numFmtId="0" fontId="1" fillId="0" borderId="100" pivotButton="0" quotePrefix="0" xfId="0"/>
    <xf numFmtId="0" fontId="1" fillId="0" borderId="119" applyAlignment="1" pivotButton="0" quotePrefix="0" xfId="0">
      <alignment horizontal="right"/>
    </xf>
    <xf numFmtId="0" fontId="10" fillId="0" borderId="40" applyAlignment="1" pivotButton="0" quotePrefix="0" xfId="0">
      <alignment textRotation="90"/>
    </xf>
    <xf numFmtId="0" fontId="1" fillId="0" borderId="52" pivotButton="0" quotePrefix="0" xfId="0"/>
    <xf numFmtId="0" fontId="7" fillId="0" borderId="120" pivotButton="0" quotePrefix="0" xfId="0"/>
    <xf numFmtId="164" fontId="2" fillId="2" borderId="121" applyAlignment="1" pivotButton="0" quotePrefix="0" xfId="0">
      <alignment horizontal="center"/>
    </xf>
    <xf numFmtId="0" fontId="2" fillId="0" borderId="93" pivotButton="0" quotePrefix="0" xfId="0"/>
    <xf numFmtId="0" fontId="2" fillId="3" borderId="1" applyAlignment="1" pivotButton="0" quotePrefix="0" xfId="0">
      <alignment horizontal="left"/>
    </xf>
    <xf numFmtId="168" fontId="12" fillId="3" borderId="30" applyAlignment="1" pivotButton="0" quotePrefix="0" xfId="0">
      <alignment horizontal="center"/>
    </xf>
    <xf numFmtId="0" fontId="2" fillId="0" borderId="40" applyAlignment="1" pivotButton="0" quotePrefix="0" xfId="0">
      <alignment wrapText="1"/>
    </xf>
    <xf numFmtId="168" fontId="2" fillId="0" borderId="14" pivotButton="0" quotePrefix="0" xfId="0"/>
    <xf numFmtId="0" fontId="6" fillId="3" borderId="8" applyAlignment="1" pivotButton="0" quotePrefix="0" xfId="0">
      <alignment horizontal="left"/>
    </xf>
    <xf numFmtId="164" fontId="3" fillId="2" borderId="3" pivotButton="0" quotePrefix="0" xfId="0"/>
    <xf numFmtId="0" fontId="1" fillId="0" borderId="44" applyAlignment="1" pivotButton="0" quotePrefix="0" xfId="0">
      <alignment vertical="center"/>
    </xf>
    <xf numFmtId="0" fontId="7" fillId="0" borderId="122" pivotButton="0" quotePrefix="0" xfId="0"/>
    <xf numFmtId="164" fontId="2" fillId="2" borderId="123" applyAlignment="1" pivotButton="0" quotePrefix="0" xfId="0">
      <alignment horizontal="center"/>
    </xf>
    <xf numFmtId="0" fontId="1" fillId="0" borderId="124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168" fontId="2" fillId="2" borderId="50" applyAlignment="1" pivotButton="0" quotePrefix="0" xfId="0">
      <alignment horizontal="center"/>
    </xf>
    <xf numFmtId="0" fontId="2" fillId="0" borderId="46" pivotButton="0" quotePrefix="0" xfId="0"/>
    <xf numFmtId="0" fontId="2" fillId="0" borderId="49" pivotButton="0" quotePrefix="0" xfId="0"/>
    <xf numFmtId="168" fontId="2" fillId="0" borderId="49" pivotButton="0" quotePrefix="0" xfId="0"/>
    <xf numFmtId="0" fontId="3" fillId="0" borderId="0" applyAlignment="1" pivotButton="0" quotePrefix="0" xfId="0">
      <alignment horizontal="left"/>
    </xf>
    <xf numFmtId="0" fontId="2" fillId="0" borderId="40" applyAlignment="1" pivotButton="0" quotePrefix="0" xfId="0">
      <alignment vertical="center" textRotation="90"/>
    </xf>
    <xf numFmtId="0" fontId="2" fillId="0" borderId="14" applyAlignment="1" pivotButton="0" quotePrefix="0" xfId="0">
      <alignment horizontal="center"/>
    </xf>
    <xf numFmtId="0" fontId="19" fillId="0" borderId="1" applyAlignment="1" pivotButton="0" quotePrefix="0" xfId="0">
      <alignment horizontal="left" vertical="center" wrapText="1"/>
    </xf>
    <xf numFmtId="0" fontId="1" fillId="2" borderId="90" applyAlignment="1" pivotButton="0" quotePrefix="0" xfId="0">
      <alignment wrapText="1"/>
    </xf>
    <xf numFmtId="0" fontId="1" fillId="0" borderId="1" applyAlignment="1" pivotButton="0" quotePrefix="0" xfId="0">
      <alignment horizontal="left" vertical="center" wrapText="1"/>
    </xf>
    <xf numFmtId="0" fontId="7" fillId="0" borderId="81" pivotButton="0" quotePrefix="0" xfId="0"/>
    <xf numFmtId="0" fontId="7" fillId="0" borderId="125" pivotButton="0" quotePrefix="0" xfId="0"/>
    <xf numFmtId="164" fontId="2" fillId="2" borderId="126" applyAlignment="1" pivotButton="0" quotePrefix="0" xfId="0">
      <alignment horizontal="center"/>
    </xf>
    <xf numFmtId="0" fontId="1" fillId="5" borderId="1" applyAlignment="1" pivotButton="0" quotePrefix="0" xfId="0">
      <alignment horizontal="left" vertical="top" wrapText="1"/>
    </xf>
    <xf numFmtId="0" fontId="7" fillId="0" borderId="127" pivotButton="0" quotePrefix="0" xfId="0"/>
    <xf numFmtId="0" fontId="1" fillId="0" borderId="49" applyAlignment="1" pivotButton="0" quotePrefix="0" xfId="0">
      <alignment horizontal="center"/>
    </xf>
    <xf numFmtId="0" fontId="1" fillId="5" borderId="128" applyAlignment="1" pivotButton="0" quotePrefix="0" xfId="0">
      <alignment horizontal="left" vertical="top" wrapText="1"/>
    </xf>
    <xf numFmtId="0" fontId="7" fillId="0" borderId="129" pivotButton="0" quotePrefix="0" xfId="0"/>
    <xf numFmtId="0" fontId="7" fillId="0" borderId="130" pivotButton="0" quotePrefix="0" xfId="0"/>
    <xf numFmtId="0" fontId="2" fillId="3" borderId="1" pivotButton="0" quotePrefix="0" xfId="0"/>
    <xf numFmtId="164" fontId="2" fillId="3" borderId="8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43" fontId="6" fillId="3" borderId="8" pivotButton="0" quotePrefix="0" xfId="0"/>
    <xf numFmtId="0" fontId="6" fillId="3" borderId="8" pivotButton="0" quotePrefix="0" xfId="0"/>
    <xf numFmtId="0" fontId="6" fillId="3" borderId="8" applyAlignment="1" pivotButton="0" quotePrefix="0" xfId="0">
      <alignment horizontal="left" wrapText="1"/>
    </xf>
    <xf numFmtId="164" fontId="6" fillId="2" borderId="8" pivotButton="0" quotePrefix="0" xfId="0"/>
    <xf numFmtId="3" fontId="3" fillId="0" borderId="0" pivotButton="0" quotePrefix="0" xfId="0"/>
    <xf numFmtId="10" fontId="3" fillId="0" borderId="0" pivotButton="0" quotePrefix="0" xfId="0"/>
    <xf numFmtId="164" fontId="3" fillId="3" borderId="8" pivotButton="0" quotePrefix="0" xfId="0"/>
    <xf numFmtId="0" fontId="20" fillId="10" borderId="104" applyAlignment="1" pivotButton="0" quotePrefix="0" xfId="0">
      <alignment horizontal="center" vertical="center"/>
    </xf>
    <xf numFmtId="164" fontId="6" fillId="0" borderId="8" applyAlignment="1" pivotButton="0" quotePrefix="0" xfId="0">
      <alignment horizontal="center"/>
    </xf>
    <xf numFmtId="0" fontId="21" fillId="2" borderId="3" pivotButton="0" quotePrefix="0" xfId="0"/>
    <xf numFmtId="1" fontId="3" fillId="0" borderId="0" pivotButton="0" quotePrefix="0" xfId="0"/>
    <xf numFmtId="0" fontId="0" fillId="0" borderId="0" pivotButton="0" quotePrefix="0" xfId="0"/>
    <xf numFmtId="0" fontId="1" fillId="0" borderId="16" applyAlignment="1" pivotButton="0" quotePrefix="0" xfId="0">
      <alignment vertical="top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10" fillId="3" borderId="8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" pivotButton="0" quotePrefix="0" xfId="0"/>
    <xf numFmtId="0" fontId="12" fillId="5" borderId="131" applyAlignment="1" pivotButton="0" quotePrefix="0" xfId="0">
      <alignment horizontal="center" vertical="center"/>
    </xf>
    <xf numFmtId="0" fontId="0" fillId="0" borderId="25" pivotButton="0" quotePrefix="0" xfId="0"/>
    <xf numFmtId="0" fontId="9" fillId="3" borderId="8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6" pivotButton="0" quotePrefix="0" xfId="0"/>
    <xf numFmtId="0" fontId="0" fillId="0" borderId="40" pivotButton="0" quotePrefix="0" xfId="0"/>
    <xf numFmtId="0" fontId="9" fillId="0" borderId="72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12" fillId="5" borderId="21" applyAlignment="1" pivotButton="0" quotePrefix="0" xfId="0">
      <alignment horizontal="center" vertical="center"/>
    </xf>
    <xf numFmtId="0" fontId="0" fillId="0" borderId="45" pivotButton="0" quotePrefix="0" xfId="0"/>
    <xf numFmtId="0" fontId="1" fillId="3" borderId="4" pivotButton="0" quotePrefix="0" xfId="0"/>
    <xf numFmtId="0" fontId="0" fillId="0" borderId="53" pivotButton="0" quotePrefix="0" xfId="0"/>
    <xf numFmtId="0" fontId="0" fillId="0" borderId="54" pivotButton="0" quotePrefix="0" xfId="0"/>
    <xf numFmtId="0" fontId="1" fillId="3" borderId="9" pivotButton="0" quotePrefix="0" xfId="0"/>
    <xf numFmtId="0" fontId="0" fillId="0" borderId="62" pivotButton="0" quotePrefix="0" xfId="0"/>
    <xf numFmtId="0" fontId="0" fillId="0" borderId="63" pivotButton="0" quotePrefix="0" xfId="0"/>
    <xf numFmtId="0" fontId="1" fillId="3" borderId="9" applyAlignment="1" pivotButton="0" quotePrefix="0" xfId="0">
      <alignment horizontal="left" vertical="center" wrapText="1"/>
    </xf>
    <xf numFmtId="0" fontId="0" fillId="0" borderId="65" pivotButton="0" quotePrefix="0" xfId="0"/>
    <xf numFmtId="0" fontId="0" fillId="0" borderId="66" pivotButton="0" quotePrefix="0" xfId="0"/>
    <xf numFmtId="0" fontId="1" fillId="2" borderId="9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13" pivotButton="0" quotePrefix="0" xfId="0"/>
    <xf numFmtId="0" fontId="3" fillId="0" borderId="50" applyAlignment="1" pivotButton="0" quotePrefix="0" xfId="0">
      <alignment horizontal="left" wrapText="1"/>
    </xf>
    <xf numFmtId="43" fontId="1" fillId="0" borderId="0" pivotButton="0" quotePrefix="0" xfId="0"/>
    <xf numFmtId="0" fontId="1" fillId="2" borderId="8" applyAlignment="1" pivotButton="0" quotePrefix="0" xfId="0">
      <alignment wrapText="1"/>
    </xf>
    <xf numFmtId="0" fontId="2" fillId="3" borderId="9" applyAlignment="1" pivotButton="0" quotePrefix="0" xfId="0">
      <alignment horizontal="center" vertical="center" wrapText="1"/>
    </xf>
    <xf numFmtId="0" fontId="1" fillId="0" borderId="52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center" vertical="center" textRotation="90"/>
    </xf>
    <xf numFmtId="1" fontId="2" fillId="2" borderId="4" applyAlignment="1" pivotButton="0" quotePrefix="0" xfId="0">
      <alignment horizontal="center" vertical="center"/>
    </xf>
    <xf numFmtId="0" fontId="0" fillId="0" borderId="70" pivotButton="0" quotePrefix="0" xfId="0"/>
    <xf numFmtId="0" fontId="2" fillId="5" borderId="28" applyAlignment="1" pivotButton="0" quotePrefix="0" xfId="0">
      <alignment horizontal="center"/>
    </xf>
    <xf numFmtId="1" fontId="2" fillId="2" borderId="9" applyAlignment="1" pivotButton="0" quotePrefix="0" xfId="0">
      <alignment horizontal="center" vertical="center"/>
    </xf>
    <xf numFmtId="0" fontId="0" fillId="0" borderId="93" pivotButton="0" quotePrefix="0" xfId="0"/>
    <xf numFmtId="0" fontId="2" fillId="5" borderId="21" applyAlignment="1" pivotButton="0" quotePrefix="0" xfId="0">
      <alignment horizontal="center"/>
    </xf>
    <xf numFmtId="0" fontId="0" fillId="0" borderId="97" pivotButton="0" quotePrefix="0" xfId="0"/>
    <xf numFmtId="0" fontId="1" fillId="2" borderId="8" applyAlignment="1" pivotButton="0" quotePrefix="0" xfId="0">
      <alignment horizontal="left" wrapText="1"/>
    </xf>
    <xf numFmtId="176" fontId="1" fillId="0" borderId="8" pivotButton="0" quotePrefix="0" xfId="0"/>
    <xf numFmtId="43" fontId="1" fillId="0" borderId="49" applyAlignment="1" pivotButton="0" quotePrefix="0" xfId="0">
      <alignment horizontal="right"/>
    </xf>
    <xf numFmtId="43" fontId="1" fillId="0" borderId="6" applyAlignment="1" pivotButton="0" quotePrefix="0" xfId="0">
      <alignment horizontal="right"/>
    </xf>
    <xf numFmtId="171" fontId="2" fillId="5" borderId="21" applyAlignment="1" pivotButton="0" quotePrefix="0" xfId="0">
      <alignment horizontal="center"/>
    </xf>
    <xf numFmtId="43" fontId="10" fillId="3" borderId="106" applyAlignment="1" pivotButton="0" quotePrefix="0" xfId="0">
      <alignment horizontal="center"/>
    </xf>
    <xf numFmtId="43" fontId="12" fillId="5" borderId="28" applyAlignment="1" pivotButton="0" quotePrefix="0" xfId="0">
      <alignment horizontal="center"/>
    </xf>
    <xf numFmtId="9" fontId="2" fillId="2" borderId="9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 textRotation="90"/>
    </xf>
    <xf numFmtId="0" fontId="10" fillId="0" borderId="8" applyAlignment="1" pivotButton="0" quotePrefix="0" xfId="0">
      <alignment horizontal="center" vertical="center" textRotation="90"/>
    </xf>
    <xf numFmtId="0" fontId="2" fillId="0" borderId="8" applyAlignment="1" pivotButton="0" quotePrefix="0" xfId="0">
      <alignment horizontal="left" vertical="center" wrapText="1"/>
    </xf>
    <xf numFmtId="43" fontId="1" fillId="0" borderId="102" pivotButton="0" quotePrefix="0" xfId="0"/>
    <xf numFmtId="43" fontId="5" fillId="2" borderId="8" applyAlignment="1" pivotButton="0" quotePrefix="0" xfId="0">
      <alignment horizontal="center"/>
    </xf>
    <xf numFmtId="0" fontId="1" fillId="0" borderId="136" pivotButton="0" quotePrefix="0" xfId="0"/>
    <xf numFmtId="0" fontId="0" fillId="0" borderId="120" pivotButton="0" quotePrefix="0" xfId="0"/>
    <xf numFmtId="0" fontId="2" fillId="3" borderId="8" applyAlignment="1" pivotButton="0" quotePrefix="0" xfId="0">
      <alignment horizontal="left"/>
    </xf>
    <xf numFmtId="0" fontId="0" fillId="0" borderId="122" pivotButton="0" quotePrefix="0" xfId="0"/>
    <xf numFmtId="0" fontId="1" fillId="0" borderId="124" pivotButton="0" quotePrefix="0" xfId="0"/>
    <xf numFmtId="0" fontId="1" fillId="0" borderId="50" applyAlignment="1" pivotButton="0" quotePrefix="0" xfId="0">
      <alignment horizontal="left" vertical="center" wrapText="1"/>
    </xf>
    <xf numFmtId="0" fontId="19" fillId="0" borderId="21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" fillId="0" borderId="92" pivotButton="0" quotePrefix="0" xfId="0"/>
    <xf numFmtId="0" fontId="0" fillId="0" borderId="81" pivotButton="0" quotePrefix="0" xfId="0"/>
    <xf numFmtId="0" fontId="0" fillId="0" borderId="125" pivotButton="0" quotePrefix="0" xfId="0"/>
    <xf numFmtId="0" fontId="1" fillId="5" borderId="8" applyAlignment="1" pivotButton="0" quotePrefix="0" xfId="0">
      <alignment horizontal="left" vertical="top" wrapText="1"/>
    </xf>
    <xf numFmtId="0" fontId="1" fillId="0" borderId="134" pivotButton="0" quotePrefix="0" xfId="0"/>
    <xf numFmtId="0" fontId="0" fillId="0" borderId="127" pivotButton="0" quotePrefix="0" xfId="0"/>
    <xf numFmtId="0" fontId="1" fillId="5" borderId="30" applyAlignment="1" pivotButton="0" quotePrefix="0" xfId="0">
      <alignment horizontal="left" vertical="top" wrapText="1"/>
    </xf>
    <xf numFmtId="43" fontId="6" fillId="3" borderId="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tc={da68b7bf-0544-4ab7-b0fb-1b5ca19d9992}</author>
    <author>tc={c3796b86-0c8b-447f-9a60-3768327c9cb0}</author>
    <author>tc={5bac2f61-86ce-4274-9f4c-23b0f4320552}</author>
    <author>tc={c3807846-85ba-46d9-870e-1a00f8b36400}</author>
    <author>tc={ad477e3a-ebf3-4ba5-b26d-4e3a2c38c0a8}</author>
    <author>None</author>
  </authors>
  <commentList>
    <comment ref="C5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these cells can be extracted from the input
</t>
      </text>
    </comment>
    <comment ref="C6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be extracted from input
</t>
      </text>
    </comment>
    <comment ref="C7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be extracted from the input
</t>
      </text>
    </comment>
    <comment ref="C8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be extracted from the input
</t>
      </text>
    </comment>
    <comment ref="C9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be extracted from the input
</t>
      </text>
    </comment>
    <comment ref="D123" authorId="5" shapeId="0">
      <text>
        <t>Khushahal Kant Upraity (Mktg/Padi/SCL):
Per KG ref taken from Manwhittle comp housing quote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38100</colOff>
      <row>0</row>
      <rowOff>28575</rowOff>
    </from>
    <ext cx="247650" cy="304800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38100</colOff>
      <row>0</row>
      <rowOff>28575</rowOff>
    </from>
    <ext cx="247650" cy="304800"/>
    <pic>
      <nvPicPr>
        <cNvPr id="0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AY1000"/>
  <sheetViews>
    <sheetView workbookViewId="0">
      <selection activeCell="A1" sqref="A1"/>
    </sheetView>
  </sheetViews>
  <sheetFormatPr baseColWidth="8" defaultColWidth="12.63" defaultRowHeight="15.75" customHeight="1"/>
  <cols>
    <col width="1.5" customWidth="1" style="562" min="1" max="1"/>
    <col width="42.63" customWidth="1" style="562" min="2" max="2"/>
    <col width="27.63" customWidth="1" style="562" min="3" max="3"/>
    <col width="16.38" customWidth="1" style="562" min="4" max="4"/>
    <col width="9.5" customWidth="1" style="562" min="5" max="5"/>
    <col width="39.75" customWidth="1" style="562" min="6" max="6"/>
    <col width="35.63" customWidth="1" style="562" min="7" max="7"/>
    <col width="5.5" customWidth="1" style="562" min="8" max="8"/>
    <col width="4.25" customWidth="1" style="562" min="9" max="9"/>
    <col width="39.88" customWidth="1" style="562" min="10" max="10"/>
    <col width="8.630000000000001" customWidth="1" style="562" min="11" max="13"/>
    <col width="9.880000000000001" customWidth="1" style="562" min="14" max="14"/>
    <col width="13.5" customWidth="1" style="562" min="15" max="15"/>
    <col width="7.63" customWidth="1" style="562" min="16" max="17"/>
    <col width="19.63" customWidth="1" style="562" min="18" max="18"/>
    <col width="7.63" customWidth="1" style="562" min="19" max="19"/>
    <col width="8" customWidth="1" style="562" min="20" max="20"/>
    <col width="33.13" customWidth="1" style="562" min="21" max="21"/>
    <col width="7.63" customWidth="1" style="562" min="22" max="22"/>
    <col width="27.5" customWidth="1" style="562" min="23" max="23"/>
    <col width="15.75" customWidth="1" style="562" min="24" max="24"/>
    <col width="5.25" customWidth="1" style="562" min="25" max="25"/>
    <col width="6.75" customWidth="1" style="562" min="26" max="26"/>
    <col width="5.88" customWidth="1" style="562" min="27" max="27"/>
    <col width="22.75" customWidth="1" style="562" min="28" max="28"/>
    <col width="16.13" customWidth="1" style="562" min="29" max="29"/>
    <col width="23.25" customWidth="1" style="562" min="30" max="30"/>
    <col width="12.13" customWidth="1" style="562" min="31" max="34"/>
    <col width="12.88" customWidth="1" style="562" min="35" max="35"/>
    <col width="12.13" customWidth="1" style="562" min="36" max="37"/>
    <col width="26.25" customWidth="1" style="562" min="38" max="38"/>
    <col width="16.75" customWidth="1" style="562" min="39" max="39"/>
    <col width="9" customWidth="1" style="562" min="40" max="40"/>
    <col width="7.63" customWidth="1" style="562" min="41" max="41"/>
    <col width="8.5" customWidth="1" style="562" min="42" max="42"/>
    <col width="23.88" customWidth="1" style="562" min="43" max="43"/>
    <col width="22" customWidth="1" style="562" min="44" max="44"/>
    <col width="8.880000000000001" customWidth="1" style="562" min="45" max="45"/>
    <col width="29" customWidth="1" style="562" min="46" max="46"/>
    <col width="8.75" customWidth="1" style="562" min="47" max="47"/>
    <col width="15.88" customWidth="1" style="562" min="48" max="48"/>
    <col width="13.88" customWidth="1" style="562" min="49" max="49"/>
    <col width="7.63" customWidth="1" style="562" min="50" max="51"/>
  </cols>
  <sheetData>
    <row r="1" ht="55.5" customHeight="1" s="562">
      <c r="B1" s="1" t="inlineStr">
        <is>
          <t xml:space="preserve">            SCL-PED                  RFQ ESTIMATION FOR PRESSURE DIE CASTING </t>
        </is>
      </c>
      <c r="C1" s="2" t="n"/>
      <c r="D1" s="2" t="n"/>
      <c r="E1" s="3" t="n"/>
      <c r="F1" s="3" t="inlineStr">
        <is>
          <t>SOP Jun 2024</t>
        </is>
      </c>
      <c r="G1" s="4" t="inlineStr">
        <is>
          <t>Rs. In lakhs</t>
        </is>
      </c>
      <c r="K1" s="5" t="n">
        <v>2022</v>
      </c>
      <c r="L1" s="5">
        <f>K1+1</f>
        <v/>
      </c>
      <c r="M1" s="5">
        <f>L1+1</f>
        <v/>
      </c>
      <c r="N1" s="5">
        <f>M1+1</f>
        <v/>
      </c>
      <c r="O1" s="5">
        <f>N1+1</f>
        <v/>
      </c>
      <c r="T1" s="6" t="n"/>
      <c r="V1" s="4" t="inlineStr">
        <is>
          <t>Capex</t>
        </is>
      </c>
      <c r="W1" s="4" t="inlineStr">
        <is>
          <t>Revex</t>
        </is>
      </c>
      <c r="Y1" s="7" t="n">
        <v>0.05</v>
      </c>
      <c r="Z1" s="8" t="n">
        <v>0.03</v>
      </c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10" t="n"/>
    </row>
    <row r="2" ht="17.25" customHeight="1" s="562">
      <c r="B2" s="11" t="inlineStr">
        <is>
          <t>RFQ No.</t>
        </is>
      </c>
      <c r="C2" s="12" t="inlineStr">
        <is>
          <t>2425-328</t>
        </is>
      </c>
      <c r="D2" s="13" t="n"/>
      <c r="E2" s="14" t="n"/>
      <c r="F2" s="11" t="inlineStr">
        <is>
          <t>Die</t>
        </is>
      </c>
      <c r="G2" s="15" t="inlineStr">
        <is>
          <t>Amortization</t>
        </is>
      </c>
      <c r="J2" s="16" t="n"/>
      <c r="K2" s="17" t="inlineStr">
        <is>
          <t>Year1</t>
        </is>
      </c>
      <c r="L2" s="17" t="inlineStr">
        <is>
          <t>Year2</t>
        </is>
      </c>
      <c r="M2" s="17" t="inlineStr">
        <is>
          <t>Year3</t>
        </is>
      </c>
      <c r="N2" s="17" t="inlineStr">
        <is>
          <t>Year4</t>
        </is>
      </c>
      <c r="O2" s="17" t="inlineStr">
        <is>
          <t>Year5</t>
        </is>
      </c>
      <c r="R2" s="6" t="n"/>
      <c r="T2" s="6" t="n"/>
      <c r="U2" s="5" t="inlineStr">
        <is>
          <t xml:space="preserve">Inflation factor </t>
        </is>
      </c>
      <c r="V2" s="18" t="n">
        <v>0.05</v>
      </c>
      <c r="W2" s="19" t="n">
        <v>0.03</v>
      </c>
      <c r="Y2" s="5">
        <f>V3+(V3*Y1)</f>
        <v/>
      </c>
      <c r="Z2" s="5">
        <f>W3+(W3*Z1)</f>
        <v/>
      </c>
      <c r="AA2" s="5" t="inlineStr">
        <is>
          <t>2021-22</t>
        </is>
      </c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10" t="n"/>
    </row>
    <row r="3" ht="17.25" customHeight="1" s="562">
      <c r="B3" s="20" t="inlineStr">
        <is>
          <t>Process</t>
        </is>
      </c>
      <c r="C3" s="21" t="inlineStr">
        <is>
          <t>GDC</t>
        </is>
      </c>
      <c r="D3" s="22" t="inlineStr">
        <is>
          <t>With Machining</t>
        </is>
      </c>
      <c r="E3" s="23" t="n"/>
      <c r="F3" s="24" t="inlineStr">
        <is>
          <t>LME Cost</t>
        </is>
      </c>
      <c r="G3" s="25" t="n"/>
      <c r="J3" s="16" t="inlineStr">
        <is>
          <t>Volume</t>
        </is>
      </c>
      <c r="K3" s="26">
        <f>G4</f>
        <v/>
      </c>
      <c r="L3" s="26">
        <f>K3</f>
        <v/>
      </c>
      <c r="M3" s="26">
        <f>L3</f>
        <v/>
      </c>
      <c r="N3" s="26">
        <f>M3</f>
        <v/>
      </c>
      <c r="O3" s="26">
        <f>N3</f>
        <v/>
      </c>
      <c r="T3" s="6" t="n"/>
      <c r="U3" s="5" t="inlineStr">
        <is>
          <t>If cost is</t>
        </is>
      </c>
      <c r="V3" s="5" t="n">
        <v>1</v>
      </c>
      <c r="W3" s="5" t="n">
        <v>1</v>
      </c>
      <c r="Y3" s="27">
        <f>Y2+(Y2*Y1)</f>
        <v/>
      </c>
      <c r="Z3" s="27">
        <f>Z2+(Z2*Z1)</f>
        <v/>
      </c>
      <c r="AA3" s="5" t="inlineStr">
        <is>
          <t>2022-23</t>
        </is>
      </c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10" t="n"/>
    </row>
    <row r="4" ht="17.25" customHeight="1" s="562">
      <c r="B4" s="20" t="inlineStr">
        <is>
          <t>Customer</t>
        </is>
      </c>
      <c r="C4" s="28" t="inlineStr">
        <is>
          <t>CTT</t>
        </is>
      </c>
      <c r="D4" s="29" t="n"/>
      <c r="E4" s="23" t="n"/>
      <c r="F4" s="30" t="inlineStr">
        <is>
          <t xml:space="preserve">Annual volume (Nos)  </t>
        </is>
      </c>
      <c r="G4" s="31" t="n">
        <v>33000</v>
      </c>
      <c r="J4" s="16" t="inlineStr">
        <is>
          <t>Debtor days- Credit period to customer</t>
        </is>
      </c>
      <c r="K4" s="32" t="n"/>
      <c r="T4" s="6" t="n"/>
      <c r="U4" s="5" t="inlineStr">
        <is>
          <t>2019-20</t>
        </is>
      </c>
      <c r="V4" s="33">
        <f>+V3</f>
        <v/>
      </c>
      <c r="W4" s="33">
        <f>+W3</f>
        <v/>
      </c>
      <c r="Y4" s="34">
        <f>Y3+(Y3*Y1)</f>
        <v/>
      </c>
      <c r="Z4" s="27">
        <f>Z3+(Z3*Z1)</f>
        <v/>
      </c>
      <c r="AA4" s="5" t="inlineStr">
        <is>
          <t>2023-24</t>
        </is>
      </c>
      <c r="AB4" s="9" t="inlineStr">
        <is>
          <t>SOP</t>
        </is>
      </c>
      <c r="AC4" s="35">
        <f>Die!L74</f>
        <v/>
      </c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10" t="n"/>
    </row>
    <row r="5" ht="17.25" customHeight="1" s="562">
      <c r="A5" s="5" t="n">
        <v>0</v>
      </c>
      <c r="B5" s="20" t="inlineStr">
        <is>
          <t>Final Part No.</t>
        </is>
      </c>
      <c r="C5" s="5" t="n">
        <v>6511292</v>
      </c>
      <c r="D5" s="29" t="n"/>
      <c r="E5" s="23" t="n"/>
      <c r="F5" s="30" t="inlineStr">
        <is>
          <t xml:space="preserve">Annual volume including rejection  (Nos)  </t>
        </is>
      </c>
      <c r="G5" s="31" t="inlineStr">
        <is>
          <t>6511292</t>
        </is>
      </c>
      <c r="J5" s="16" t="inlineStr">
        <is>
          <t>Inventory days</t>
        </is>
      </c>
      <c r="K5" s="32" t="n">
        <v>37950</v>
      </c>
      <c r="L5" s="5" t="inlineStr">
        <is>
          <t>(warehouse)</t>
        </is>
      </c>
      <c r="N5" s="9" t="n"/>
      <c r="O5" s="6" t="n"/>
      <c r="T5" s="6" t="n"/>
      <c r="U5" s="5" t="inlineStr">
        <is>
          <t>2021-22</t>
        </is>
      </c>
      <c r="V5" s="33">
        <f>Y2</f>
        <v/>
      </c>
      <c r="W5" s="33">
        <f>Z2</f>
        <v/>
      </c>
      <c r="X5" s="33">
        <f>W3</f>
        <v/>
      </c>
      <c r="Z5" s="6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10" t="n"/>
    </row>
    <row r="6" ht="17.25" customHeight="1" s="562">
      <c r="B6" s="20" t="inlineStr">
        <is>
          <t>Final Part Rev No.</t>
        </is>
      </c>
      <c r="C6" s="5">
        <f>C5</f>
        <v/>
      </c>
      <c r="D6" s="29" t="n"/>
      <c r="E6" s="23" t="n"/>
      <c r="F6" s="30" t="inlineStr">
        <is>
          <t>Bend removal/Profile tools- Lumpsum/Piece price</t>
        </is>
      </c>
      <c r="G6" s="31" t="inlineStr">
        <is>
          <t>No 2d drawing only 3d</t>
        </is>
      </c>
      <c r="N6" s="9" t="n"/>
      <c r="O6" s="6" t="n"/>
      <c r="T6" s="6" t="n"/>
      <c r="U6" s="36" t="n"/>
      <c r="Z6" s="6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10" t="n"/>
    </row>
    <row r="7" ht="31.5" customHeight="1" s="562">
      <c r="B7" s="20" t="inlineStr">
        <is>
          <t>Description</t>
        </is>
      </c>
      <c r="C7" s="5" t="inlineStr">
        <is>
          <t>Meredian Housing Compressor</t>
        </is>
      </c>
      <c r="D7" s="29" t="n"/>
      <c r="E7" s="23" t="n"/>
      <c r="F7" s="37" t="inlineStr">
        <is>
          <t>Profile Cutting/ Trimming  Press / tool</t>
        </is>
      </c>
      <c r="G7" s="31" t="inlineStr">
        <is>
          <t>Meredian Housing Compressor</t>
        </is>
      </c>
      <c r="N7" s="9" t="n"/>
      <c r="O7" s="6" t="n"/>
      <c r="T7" s="6" t="n"/>
      <c r="Z7" s="6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10" t="n"/>
    </row>
    <row r="8" ht="12.75" customHeight="1" s="562">
      <c r="B8" s="20" t="inlineStr">
        <is>
          <t>Alloy</t>
        </is>
      </c>
      <c r="C8" s="5" t="inlineStr">
        <is>
          <t>E4-01-240 (C355-T71)</t>
        </is>
      </c>
      <c r="D8" s="563" t="n"/>
      <c r="E8" s="564" t="n"/>
      <c r="F8" s="30" t="inlineStr">
        <is>
          <t>Machined part wt (kg)</t>
        </is>
      </c>
      <c r="G8" s="40" t="inlineStr">
        <is>
          <t>E4-01-240 (C355-T71)</t>
        </is>
      </c>
      <c r="N8" s="9" t="n"/>
      <c r="O8" s="6" t="n"/>
      <c r="T8" s="6" t="n"/>
      <c r="Z8" s="6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10" t="n"/>
    </row>
    <row r="9" ht="27" customHeight="1" s="562">
      <c r="B9" s="20" t="inlineStr">
        <is>
          <t>Cavity</t>
        </is>
      </c>
      <c r="C9" s="41" t="n">
        <v>1</v>
      </c>
      <c r="D9" s="565" t="n"/>
      <c r="E9" s="566" t="n"/>
      <c r="F9" s="30" t="inlineStr">
        <is>
          <t>Casting Weight (Kg)</t>
        </is>
      </c>
      <c r="G9" s="44" t="n"/>
      <c r="N9" s="9" t="n"/>
      <c r="O9" s="6" t="n"/>
      <c r="T9" s="6" t="n"/>
      <c r="U9" s="45" t="inlineStr">
        <is>
          <t>Cycle Time Details:</t>
        </is>
      </c>
      <c r="V9" s="46" t="n"/>
      <c r="W9" s="47" t="inlineStr">
        <is>
          <t>Assembly</t>
        </is>
      </c>
      <c r="X9" s="567" t="inlineStr">
        <is>
          <t>After Assembly Machining</t>
        </is>
      </c>
      <c r="Y9" s="568" t="n"/>
      <c r="Z9" s="6" t="n"/>
      <c r="AB9" s="50" t="n"/>
      <c r="AC9" s="47" t="inlineStr">
        <is>
          <t>Machining</t>
        </is>
      </c>
      <c r="AD9" s="569" t="n"/>
      <c r="AE9" s="569" t="n"/>
      <c r="AF9" s="569" t="n"/>
      <c r="AG9" s="569" t="n"/>
      <c r="AH9" s="569" t="n"/>
      <c r="AI9" s="568" t="n"/>
      <c r="AJ9" s="9" t="n"/>
      <c r="AK9" s="9" t="n"/>
      <c r="AL9" s="53" t="inlineStr">
        <is>
          <t>PACKING DIMENSION</t>
        </is>
      </c>
      <c r="AM9" s="54" t="n"/>
      <c r="AP9" s="50" t="n"/>
      <c r="AQ9" s="47" t="inlineStr">
        <is>
          <t>Machining- BO</t>
        </is>
      </c>
      <c r="AR9" s="569" t="n"/>
      <c r="AS9" s="569" t="n"/>
      <c r="AT9" s="569" t="n"/>
      <c r="AU9" s="569" t="n"/>
      <c r="AV9" s="569" t="n"/>
      <c r="AW9" s="568" t="n"/>
      <c r="AX9" s="55" t="n"/>
      <c r="AY9" s="55" t="n"/>
    </row>
    <row r="10" ht="15.75" customHeight="1" s="562">
      <c r="B10" s="56" t="inlineStr">
        <is>
          <t>Geographical segment</t>
        </is>
      </c>
      <c r="C10" s="58" t="inlineStr">
        <is>
          <t>Domestic</t>
        </is>
      </c>
      <c r="D10" s="58" t="inlineStr">
        <is>
          <t>CIF</t>
        </is>
      </c>
      <c r="E10" s="59" t="n"/>
      <c r="F10" s="60" t="inlineStr">
        <is>
          <t>L</t>
        </is>
      </c>
      <c r="G10" s="61" t="n"/>
      <c r="J10" s="36" t="inlineStr">
        <is>
          <t xml:space="preserve">Process </t>
        </is>
      </c>
      <c r="K10" s="62" t="n"/>
      <c r="N10" s="9" t="n"/>
      <c r="O10" s="6" t="n"/>
      <c r="T10" s="6" t="n"/>
      <c r="U10" s="46" t="inlineStr">
        <is>
          <t>Cycle time (min)</t>
        </is>
      </c>
      <c r="V10" s="46" t="n"/>
      <c r="W10" s="63" t="n"/>
      <c r="X10" s="64" t="n"/>
      <c r="Y10" s="65" t="n"/>
      <c r="Z10" s="6" t="n"/>
      <c r="AB10" s="11" t="inlineStr">
        <is>
          <t>RFQ No.</t>
        </is>
      </c>
      <c r="AC10" s="66">
        <f>C2</f>
        <v/>
      </c>
      <c r="AD10" s="67" t="n"/>
      <c r="AE10" s="68" t="n"/>
      <c r="AF10" s="69" t="inlineStr">
        <is>
          <t>Date</t>
        </is>
      </c>
      <c r="AG10" s="68" t="n"/>
      <c r="AH10" s="70" t="n"/>
      <c r="AI10" s="71" t="n"/>
      <c r="AJ10" s="9" t="n"/>
      <c r="AK10" s="9" t="n"/>
      <c r="AL10" s="72" t="inlineStr">
        <is>
          <t>L</t>
        </is>
      </c>
      <c r="AM10" s="73" t="n"/>
      <c r="AP10" s="11" t="inlineStr">
        <is>
          <t>2425-328</t>
        </is>
      </c>
      <c r="AQ10" s="74" t="n"/>
      <c r="AR10" s="67" t="n"/>
      <c r="AS10" s="68" t="n"/>
      <c r="AT10" s="69" t="inlineStr">
        <is>
          <t>Date</t>
        </is>
      </c>
      <c r="AU10" s="68" t="n"/>
      <c r="AV10" s="70" t="n"/>
      <c r="AW10" s="71" t="n"/>
      <c r="AX10" s="55" t="n"/>
      <c r="AY10" s="55" t="n"/>
    </row>
    <row r="11" ht="12.75" customHeight="1" s="562">
      <c r="B11" s="570" t="inlineStr">
        <is>
          <t>MACHINE SELECTION</t>
        </is>
      </c>
      <c r="C11" s="571" t="n"/>
      <c r="D11" s="571" t="n"/>
      <c r="E11" s="78" t="inlineStr">
        <is>
          <t>Dep%</t>
        </is>
      </c>
      <c r="F11" s="60" t="inlineStr">
        <is>
          <t>B</t>
        </is>
      </c>
      <c r="G11" s="61" t="n"/>
      <c r="I11" s="79" t="n"/>
      <c r="J11" s="80" t="inlineStr">
        <is>
          <t>Output/ m/c details:</t>
        </is>
      </c>
      <c r="K11" s="81" t="n"/>
      <c r="L11" s="82" t="inlineStr">
        <is>
          <t>No of cavities/ Loading</t>
        </is>
      </c>
      <c r="M11" s="83" t="inlineStr">
        <is>
          <t>Cycle Time (min)</t>
        </is>
      </c>
      <c r="N11" s="84" t="inlineStr">
        <is>
          <t>Output /hr</t>
        </is>
      </c>
      <c r="O11" s="572" t="inlineStr">
        <is>
          <t>GDC</t>
        </is>
      </c>
      <c r="P11" s="573" t="n"/>
      <c r="Q11" s="573" t="n"/>
      <c r="R11" s="573" t="n"/>
      <c r="S11" s="574" t="n"/>
      <c r="T11" s="6" t="n"/>
      <c r="U11" s="46" t="inlineStr">
        <is>
          <t>Output Per Hour (Nos)</t>
        </is>
      </c>
      <c r="V11" s="46" t="n"/>
      <c r="W11" s="88" t="n"/>
      <c r="X11" s="89" t="n"/>
      <c r="Y11" s="65" t="n"/>
      <c r="Z11" s="6" t="n"/>
      <c r="AB11" s="90" t="inlineStr">
        <is>
          <t>Customer</t>
        </is>
      </c>
      <c r="AC11" s="91">
        <f>C4</f>
        <v/>
      </c>
      <c r="AD11" s="92" t="n"/>
      <c r="AE11" s="93" t="n"/>
      <c r="AF11" s="94" t="inlineStr">
        <is>
          <t xml:space="preserve">Annual volume (Nos)  </t>
        </is>
      </c>
      <c r="AG11" s="93" t="n"/>
      <c r="AH11" s="95" t="n"/>
      <c r="AI11" s="96">
        <f>G4</f>
        <v/>
      </c>
      <c r="AJ11" s="9" t="n"/>
      <c r="AK11" s="9" t="n"/>
      <c r="AL11" s="72" t="inlineStr">
        <is>
          <t>B</t>
        </is>
      </c>
      <c r="AM11" s="73" t="n"/>
      <c r="AP11" s="20" t="inlineStr">
        <is>
          <t>CTT</t>
        </is>
      </c>
      <c r="AQ11" s="97" t="n"/>
      <c r="AR11" s="92" t="n"/>
      <c r="AS11" s="93" t="n"/>
      <c r="AT11" s="94" t="n">
        <v>33000</v>
      </c>
      <c r="AU11" s="93" t="n"/>
      <c r="AV11" s="95" t="n"/>
      <c r="AW11" s="96" t="n"/>
      <c r="AX11" s="55" t="n"/>
      <c r="AY11" s="55" t="n"/>
    </row>
    <row r="12" ht="15" customHeight="1" s="562">
      <c r="B12" s="98" t="inlineStr">
        <is>
          <t>Projected area of casting including s/cores (cm2)</t>
        </is>
      </c>
      <c r="C12" s="99" t="n"/>
      <c r="D12" s="100" t="n"/>
      <c r="E12" s="100" t="n"/>
      <c r="F12" s="101" t="inlineStr">
        <is>
          <t>H</t>
        </is>
      </c>
      <c r="G12" s="61" t="n"/>
      <c r="I12" s="102" t="n"/>
      <c r="J12" s="103" t="inlineStr">
        <is>
          <t>Sand core 1</t>
        </is>
      </c>
      <c r="K12" s="104" t="n"/>
      <c r="L12" s="41" t="inlineStr">
        <is>
          <t>NIL</t>
        </is>
      </c>
      <c r="M12" s="105" t="n">
        <v>2</v>
      </c>
      <c r="N12" s="106" t="n">
        <v>5</v>
      </c>
      <c r="O12" s="575" t="n"/>
      <c r="S12" s="564" t="n"/>
      <c r="T12" s="6" t="n"/>
      <c r="U12" s="46" t="inlineStr">
        <is>
          <t>Cell Capacity (Nos)</t>
        </is>
      </c>
      <c r="V12" s="46" t="n"/>
      <c r="W12" s="108" t="n">
        <v>24</v>
      </c>
      <c r="X12" s="108" t="n"/>
      <c r="Y12" s="109" t="n"/>
      <c r="Z12" s="6" t="n"/>
      <c r="AB12" s="20" t="inlineStr">
        <is>
          <t>Final Part No.</t>
        </is>
      </c>
      <c r="AC12" s="110">
        <f>C5</f>
        <v/>
      </c>
      <c r="AD12" s="92" t="n"/>
      <c r="AE12" s="93" t="n"/>
      <c r="AF12" s="94" t="inlineStr">
        <is>
          <t xml:space="preserve">Annual volume incl. rejection (Nos)  </t>
        </is>
      </c>
      <c r="AG12" s="93" t="n"/>
      <c r="AH12" s="95" t="n"/>
      <c r="AI12" s="96">
        <f>+AI11*110%</f>
        <v/>
      </c>
      <c r="AJ12" s="9" t="n"/>
      <c r="AK12" s="9" t="n"/>
      <c r="AL12" s="72" t="inlineStr">
        <is>
          <t>H</t>
        </is>
      </c>
      <c r="AM12" s="73" t="n"/>
      <c r="AP12" s="20" t="inlineStr">
        <is>
          <t>6511292</t>
        </is>
      </c>
      <c r="AQ12" s="111" t="n"/>
      <c r="AR12" s="92" t="n"/>
      <c r="AS12" s="93" t="n"/>
      <c r="AT12" s="94" t="n">
        <v>36300</v>
      </c>
      <c r="AU12" s="93" t="n"/>
      <c r="AV12" s="95" t="n"/>
      <c r="AW12" s="96" t="n"/>
      <c r="AX12" s="55" t="n"/>
      <c r="AY12" s="55" t="n"/>
    </row>
    <row r="13" ht="14.25" customHeight="1" s="562">
      <c r="B13" s="112" t="inlineStr">
        <is>
          <t>Biscuit/ Runner/ Overflow area in %</t>
        </is>
      </c>
      <c r="C13" s="113" t="n"/>
      <c r="D13" s="100" t="n"/>
      <c r="E13" s="100" t="n"/>
      <c r="F13" s="576" t="inlineStr">
        <is>
          <t>PDC</t>
        </is>
      </c>
      <c r="G13" s="577" t="n"/>
      <c r="I13" s="116" t="n"/>
      <c r="J13" s="117" t="inlineStr">
        <is>
          <t>Sand core 2</t>
        </is>
      </c>
      <c r="K13" s="118" t="n"/>
      <c r="L13" s="41" t="n"/>
      <c r="M13" s="119" t="n"/>
      <c r="N13" s="106" t="n"/>
      <c r="O13" s="575" t="n"/>
      <c r="S13" s="564" t="n"/>
      <c r="T13" s="6" t="n"/>
      <c r="U13" s="120" t="inlineStr">
        <is>
          <t>Cell Utilisation</t>
        </is>
      </c>
      <c r="V13" s="121" t="n"/>
      <c r="W13" s="122" t="n">
        <v>0</v>
      </c>
      <c r="X13" s="122" t="n"/>
      <c r="Y13" s="123" t="n"/>
      <c r="Z13" s="6" t="n"/>
      <c r="AB13" s="20" t="inlineStr">
        <is>
          <t>Final Part Rev No.</t>
        </is>
      </c>
      <c r="AC13" s="124" t="n"/>
      <c r="AD13" s="92" t="n"/>
      <c r="AE13" s="93" t="n"/>
      <c r="AF13" s="94" t="inlineStr">
        <is>
          <t>Machined part wt (kg)</t>
        </is>
      </c>
      <c r="AG13" s="93" t="n"/>
      <c r="AH13" s="95" t="n"/>
      <c r="AI13" s="125">
        <f>G8</f>
        <v/>
      </c>
      <c r="AJ13" s="9" t="n"/>
      <c r="AK13" s="9" t="n"/>
      <c r="AL13" s="72" t="inlineStr">
        <is>
          <t>VCI COST  PER PIECE</t>
        </is>
      </c>
      <c r="AM13" s="126" t="n"/>
      <c r="AP13" s="20" t="inlineStr">
        <is>
          <t>No 2d drawing only 3d</t>
        </is>
      </c>
      <c r="AQ13" s="111" t="n"/>
      <c r="AR13" s="92" t="n"/>
      <c r="AS13" s="93" t="n"/>
      <c r="AT13" s="94" t="n">
        <v>2.96</v>
      </c>
      <c r="AU13" s="93" t="n"/>
      <c r="AV13" s="95" t="n"/>
      <c r="AW13" s="127" t="n"/>
      <c r="AX13" s="55" t="n"/>
      <c r="AY13" s="55" t="n"/>
    </row>
    <row r="14" ht="15" customHeight="1" s="562">
      <c r="B14" s="112" t="inlineStr">
        <is>
          <t>Total projected area  (cm2)</t>
        </is>
      </c>
      <c r="C14" s="128" t="n"/>
      <c r="D14" s="100" t="n"/>
      <c r="E14" s="100" t="n"/>
      <c r="F14" s="578" t="n"/>
      <c r="G14" s="579" t="n"/>
      <c r="I14" s="116" t="n"/>
      <c r="J14" s="117" t="inlineStr">
        <is>
          <t>Sand core 3</t>
        </is>
      </c>
      <c r="K14" s="118" t="n"/>
      <c r="L14" s="41" t="n"/>
      <c r="M14" s="119" t="n"/>
      <c r="N14" s="106" t="n"/>
      <c r="O14" s="578" t="n"/>
      <c r="P14" s="580" t="n"/>
      <c r="Q14" s="580" t="n"/>
      <c r="R14" s="580" t="n"/>
      <c r="S14" s="581" t="n"/>
      <c r="T14" s="6" t="n"/>
      <c r="U14" s="133" t="inlineStr">
        <is>
          <t>No. of cells required</t>
        </is>
      </c>
      <c r="V14" s="133" t="n"/>
      <c r="W14" s="134" t="n">
        <v>0</v>
      </c>
      <c r="X14" s="135" t="n"/>
      <c r="Y14" s="136" t="n"/>
      <c r="Z14" s="6" t="n"/>
      <c r="AB14" s="20" t="inlineStr">
        <is>
          <t>Description</t>
        </is>
      </c>
      <c r="AC14" s="110">
        <f>C7</f>
        <v/>
      </c>
      <c r="AD14" s="92" t="n"/>
      <c r="AE14" s="93" t="n"/>
      <c r="AF14" s="93" t="inlineStr">
        <is>
          <t>LBH (mm)</t>
        </is>
      </c>
      <c r="AG14" s="137">
        <f>G10</f>
        <v/>
      </c>
      <c r="AH14" s="138">
        <f>G11</f>
        <v/>
      </c>
      <c r="AI14" s="139">
        <f>G12</f>
        <v/>
      </c>
      <c r="AJ14" s="9" t="n"/>
      <c r="AK14" s="9" t="n"/>
      <c r="AL14" s="72" t="inlineStr">
        <is>
          <t>Sea freight - USD per container</t>
        </is>
      </c>
      <c r="AM14" s="140" t="n">
        <v>4800</v>
      </c>
      <c r="AP14" s="20" t="inlineStr">
        <is>
          <t>Meredian Housing Compressor</t>
        </is>
      </c>
      <c r="AQ14" s="111" t="n"/>
      <c r="AR14" s="92" t="n"/>
      <c r="AS14" s="93" t="n"/>
      <c r="AT14" s="93" t="inlineStr">
        <is>
          <t>LBH (mm)</t>
        </is>
      </c>
      <c r="AU14" s="93" t="n"/>
      <c r="AV14" s="95" t="n"/>
      <c r="AW14" s="139" t="n"/>
      <c r="AX14" s="55" t="n"/>
      <c r="AY14" s="55" t="n"/>
    </row>
    <row r="15" ht="12.75" customHeight="1" s="562">
      <c r="B15" s="112" t="inlineStr">
        <is>
          <t>Specific injection pressure (kg/cm2)</t>
        </is>
      </c>
      <c r="C15" s="141" t="n"/>
      <c r="D15" s="100" t="n"/>
      <c r="E15" s="100" t="n"/>
      <c r="F15" s="582" t="inlineStr">
        <is>
          <t>DIE DETAILS</t>
        </is>
      </c>
      <c r="G15" s="583" t="n"/>
      <c r="I15" s="116" t="n"/>
      <c r="J15" s="117" t="inlineStr">
        <is>
          <t>Sand core 4</t>
        </is>
      </c>
      <c r="K15" s="118" t="n"/>
      <c r="L15" s="41" t="n"/>
      <c r="M15" s="119" t="n"/>
      <c r="N15" s="106" t="n"/>
      <c r="O15" s="584" t="inlineStr">
        <is>
          <t xml:space="preserve">Weight of Sand core/ part (kg) (f any) </t>
        </is>
      </c>
      <c r="P15" s="585" t="n"/>
      <c r="Q15" s="585" t="n"/>
      <c r="R15" s="586" t="n"/>
      <c r="S15" s="147" t="n">
        <v>2.75</v>
      </c>
      <c r="T15" s="6" t="n"/>
      <c r="U15" s="148" t="n"/>
      <c r="V15" s="149" t="n"/>
      <c r="W15" s="149" t="n"/>
      <c r="X15" s="150" t="n"/>
      <c r="Y15" s="151" t="n"/>
      <c r="Z15" s="6" t="n"/>
      <c r="AB15" s="152" t="inlineStr">
        <is>
          <t>Alloy</t>
        </is>
      </c>
      <c r="AC15" s="153">
        <f>C8</f>
        <v/>
      </c>
      <c r="AD15" s="154" t="n"/>
      <c r="AE15" s="155" t="n"/>
      <c r="AF15" s="155" t="n"/>
      <c r="AG15" s="155" t="n"/>
      <c r="AH15" s="156" t="inlineStr">
        <is>
          <t>Takt time</t>
        </is>
      </c>
      <c r="AI15" s="157" t="n">
        <v>63.01</v>
      </c>
      <c r="AJ15" s="9" t="n"/>
      <c r="AK15" s="9" t="n"/>
      <c r="AL15" s="72" t="inlineStr">
        <is>
          <t>Fumigation cost per container</t>
        </is>
      </c>
      <c r="AM15" s="158">
        <f>3500*W5</f>
        <v/>
      </c>
      <c r="AP15" s="152" t="inlineStr">
        <is>
          <t>Alloy</t>
        </is>
      </c>
      <c r="AQ15" s="159" t="n"/>
      <c r="AR15" s="154" t="n"/>
      <c r="AS15" s="155" t="n"/>
      <c r="AT15" s="155" t="n"/>
      <c r="AU15" s="155" t="n"/>
      <c r="AV15" s="156" t="n"/>
      <c r="AW15" s="157" t="n"/>
      <c r="AX15" s="55" t="n"/>
      <c r="AY15" s="55" t="n"/>
    </row>
    <row r="16" ht="24.75" customHeight="1" s="562">
      <c r="B16" s="112" t="inlineStr">
        <is>
          <t>Machine efficiency (%)</t>
        </is>
      </c>
      <c r="C16" s="160" t="n"/>
      <c r="D16" s="100" t="n"/>
      <c r="E16" s="100" t="n"/>
      <c r="F16" s="161" t="inlineStr">
        <is>
          <t>Estimated die cost for the given Tonnage (Rs.in lakhs)</t>
        </is>
      </c>
      <c r="G16" s="162" t="n"/>
      <c r="I16" s="116" t="n"/>
      <c r="J16" s="93" t="inlineStr">
        <is>
          <t>Decore</t>
        </is>
      </c>
      <c r="K16" s="118" t="n"/>
      <c r="L16" s="41" t="n"/>
      <c r="M16" s="119" t="n">
        <v>1</v>
      </c>
      <c r="N16" s="106" t="n">
        <v>2</v>
      </c>
      <c r="O16" s="587" t="inlineStr">
        <is>
          <t>Man power / shift/ cell</t>
        </is>
      </c>
      <c r="P16" s="588" t="n"/>
      <c r="Q16" s="588" t="n"/>
      <c r="R16" s="589" t="n"/>
      <c r="S16" s="166" t="n">
        <v>6</v>
      </c>
      <c r="T16" s="6" t="n"/>
      <c r="U16" s="167" t="inlineStr">
        <is>
          <t>Assembly Cost Details: (Rs.)</t>
        </is>
      </c>
      <c r="V16" s="9" t="n"/>
      <c r="W16" s="168" t="n">
        <v>30</v>
      </c>
      <c r="X16" s="168" t="inlineStr">
        <is>
          <t>Opex Rs L</t>
        </is>
      </c>
      <c r="Y16" s="168" t="n"/>
      <c r="Z16" s="169" t="inlineStr">
        <is>
          <t>Dep %</t>
        </is>
      </c>
      <c r="AB16" s="170" t="n"/>
      <c r="AC16" s="9" t="n"/>
      <c r="AD16" s="9" t="n"/>
      <c r="AE16" s="9" t="n"/>
      <c r="AF16" s="9" t="n"/>
      <c r="AG16" s="9" t="n"/>
      <c r="AH16" s="9" t="n"/>
      <c r="AI16" s="171" t="n"/>
      <c r="AJ16" s="9" t="n"/>
      <c r="AK16" s="9" t="n"/>
      <c r="AL16" s="72" t="inlineStr">
        <is>
          <t>Warehousing in USD</t>
        </is>
      </c>
      <c r="AM16" s="140" t="n">
        <v>42</v>
      </c>
      <c r="AN16" s="172" t="n"/>
      <c r="AP16" s="170" t="n"/>
      <c r="AQ16" s="9" t="n"/>
      <c r="AR16" s="9" t="n"/>
      <c r="AS16" s="9" t="n"/>
      <c r="AT16" s="9" t="n"/>
      <c r="AU16" s="9" t="n"/>
      <c r="AV16" s="9" t="n"/>
      <c r="AW16" s="171" t="n"/>
    </row>
    <row r="17" ht="38.25" customHeight="1" s="562">
      <c r="B17" s="112" t="inlineStr">
        <is>
          <t>No.of Side cores considered (Nos)</t>
        </is>
      </c>
      <c r="C17" s="173" t="n"/>
      <c r="D17" s="100" t="n"/>
      <c r="E17" s="100" t="n"/>
      <c r="F17" s="20" t="inlineStr">
        <is>
          <t>No.of dies reqd. (Nos)</t>
        </is>
      </c>
      <c r="G17" s="162" t="n"/>
      <c r="I17" s="116">
        <f>(D13)*I53*1.1</f>
        <v/>
      </c>
      <c r="J17" s="93" t="inlineStr">
        <is>
          <t>Casting</t>
        </is>
      </c>
      <c r="K17" s="118" t="n"/>
      <c r="L17" s="41" t="n">
        <v>1</v>
      </c>
      <c r="M17" s="119" t="n">
        <v>2</v>
      </c>
      <c r="N17" s="106" t="n">
        <v>6</v>
      </c>
      <c r="O17" s="590" t="inlineStr">
        <is>
          <t>Floor space /cell (Sq.m) (includes Die casting, Post casting, WIP, Sand core, finished goods, HT, SH/blast, Melting)</t>
        </is>
      </c>
      <c r="P17" s="591" t="n"/>
      <c r="Q17" s="591" t="n"/>
      <c r="R17" s="592" t="n"/>
      <c r="S17" s="593" t="n">
        <v>676</v>
      </c>
      <c r="T17" s="6" t="n"/>
      <c r="U17" s="178" t="inlineStr">
        <is>
          <t>Assembly station</t>
        </is>
      </c>
      <c r="V17" s="179" t="n"/>
      <c r="W17" s="180" t="n">
        <v>20</v>
      </c>
      <c r="X17" s="180" t="n"/>
      <c r="Y17" s="181" t="n"/>
      <c r="Z17" s="182" t="n">
        <v>10</v>
      </c>
      <c r="AB17" s="183" t="inlineStr">
        <is>
          <t>Opn. No.</t>
        </is>
      </c>
      <c r="AC17" s="183" t="inlineStr">
        <is>
          <t>Description</t>
        </is>
      </c>
      <c r="AD17" s="568" t="n"/>
      <c r="AE17" s="183" t="inlineStr">
        <is>
          <t>Cycle Time (min)</t>
        </is>
      </c>
      <c r="AF17" s="183" t="inlineStr">
        <is>
          <t>No of m/cs</t>
        </is>
      </c>
      <c r="AG17" s="183" t="inlineStr">
        <is>
          <t>Manpower/
shift</t>
        </is>
      </c>
      <c r="AH17" s="183" t="inlineStr">
        <is>
          <t>Cost of Machine</t>
        </is>
      </c>
      <c r="AI17" s="183" t="inlineStr">
        <is>
          <t>Rs. In L</t>
        </is>
      </c>
      <c r="AJ17" s="9" t="n"/>
      <c r="AK17" s="9" t="n"/>
      <c r="AL17" s="9" t="n"/>
      <c r="AM17" s="185" t="n"/>
      <c r="AP17" s="186" t="inlineStr">
        <is>
          <t>Opn. No.</t>
        </is>
      </c>
      <c r="AQ17" s="186" t="inlineStr">
        <is>
          <t>Description</t>
        </is>
      </c>
      <c r="AR17" s="568" t="n"/>
      <c r="AS17" s="188" t="inlineStr">
        <is>
          <t>Cycle Time (min)</t>
        </is>
      </c>
      <c r="AT17" s="189" t="inlineStr">
        <is>
          <t>No of m/cs / cell</t>
        </is>
      </c>
      <c r="AU17" s="189" t="inlineStr">
        <is>
          <t>Machine Cost (Rs. In L</t>
        </is>
      </c>
      <c r="AV17" s="189" t="inlineStr">
        <is>
          <t>No. of Cells</t>
        </is>
      </c>
      <c r="AW17" s="189" t="inlineStr">
        <is>
          <t>Amount (Rs. In L)</t>
        </is>
      </c>
    </row>
    <row r="18" ht="39" customHeight="1" s="562">
      <c r="B18" s="112" t="inlineStr">
        <is>
          <t>No.of Cavities  (Nos)</t>
        </is>
      </c>
      <c r="C18" s="141" t="n"/>
      <c r="D18" s="100" t="n"/>
      <c r="E18" s="100" t="n"/>
      <c r="F18" s="20" t="inlineStr">
        <is>
          <t>Die life (shots)</t>
        </is>
      </c>
      <c r="G18" s="190" t="n"/>
      <c r="I18" s="116" t="n"/>
      <c r="J18" s="93" t="inlineStr">
        <is>
          <t>Cutting 1</t>
        </is>
      </c>
      <c r="K18" s="118" t="n"/>
      <c r="L18" s="191" t="n"/>
      <c r="M18" s="119" t="n">
        <v>1</v>
      </c>
      <c r="N18" s="106" t="n">
        <v>2</v>
      </c>
      <c r="O18" s="594" t="n"/>
      <c r="P18" s="565" t="n"/>
      <c r="Q18" s="565" t="n"/>
      <c r="R18" s="566" t="n"/>
      <c r="S18" s="595" t="n"/>
      <c r="T18" s="6" t="n"/>
      <c r="U18" s="178" t="inlineStr">
        <is>
          <t>pokeyoke system</t>
        </is>
      </c>
      <c r="V18" s="179" t="n"/>
      <c r="W18" s="180" t="n">
        <v>30</v>
      </c>
      <c r="X18" s="194" t="n"/>
      <c r="Y18" s="181" t="n"/>
      <c r="Z18" s="182" t="n">
        <v>10</v>
      </c>
      <c r="AB18" s="82" t="n">
        <v>20</v>
      </c>
      <c r="AC18" s="596" t="inlineStr">
        <is>
          <t>TURNING CENTER- Diffuser &amp; Inlet M/cng (LT-20)</t>
        </is>
      </c>
      <c r="AD18" s="574" t="n"/>
      <c r="AE18" s="82" t="n">
        <v>7</v>
      </c>
      <c r="AF18" s="82" t="n">
        <v>1</v>
      </c>
      <c r="AG18" s="196" t="n"/>
      <c r="AH18" s="197" t="n">
        <v>40</v>
      </c>
      <c r="AI18" s="198">
        <f>AH18</f>
        <v/>
      </c>
      <c r="AJ18" s="597">
        <f>AI18*1.05/100</f>
        <v/>
      </c>
      <c r="AK18" s="9" t="n"/>
      <c r="AL18" s="200" t="inlineStr">
        <is>
          <t>Part weight</t>
        </is>
      </c>
      <c r="AM18" s="201">
        <f>AI13</f>
        <v/>
      </c>
      <c r="AP18" s="202" t="n">
        <v>20</v>
      </c>
      <c r="AQ18" s="598" t="inlineStr">
        <is>
          <t>TURNING CENTER- Diffuser &amp; Inlet M/cng (LT-20)</t>
        </is>
      </c>
      <c r="AR18" s="568" t="n"/>
      <c r="AS18" s="63" t="n">
        <v>7</v>
      </c>
      <c r="AT18" s="88" t="n">
        <v>1</v>
      </c>
      <c r="AU18" s="204" t="n"/>
      <c r="AV18" s="205" t="n"/>
      <c r="AW18" s="206">
        <f>AT18*AV18*AU18</f>
        <v/>
      </c>
      <c r="AX18" s="207" t="n">
        <v>0.1</v>
      </c>
    </row>
    <row r="19" ht="39" customHeight="1" s="562">
      <c r="B19" s="112" t="inlineStr">
        <is>
          <t>Tonnage required</t>
        </is>
      </c>
      <c r="C19" s="141" t="n"/>
      <c r="D19" s="100" t="n"/>
      <c r="E19" s="100" t="n"/>
      <c r="F19" s="20" t="inlineStr">
        <is>
          <t>Die service consumables cost (Rs. In Lakhs)</t>
        </is>
      </c>
      <c r="G19" s="208" t="n"/>
      <c r="I19" s="116" t="n"/>
      <c r="J19" s="93" t="inlineStr">
        <is>
          <t>Cutting 2</t>
        </is>
      </c>
      <c r="K19" s="118" t="n"/>
      <c r="L19" s="191" t="n"/>
      <c r="M19" s="119" t="n"/>
      <c r="N19" s="106" t="n"/>
      <c r="O19" s="590" t="inlineStr">
        <is>
          <t>Type of shot blasting (Hanger type / AlO2/ Tumbling/ Vibro finishing)</t>
        </is>
      </c>
      <c r="P19" s="591" t="n"/>
      <c r="Q19" s="591" t="n"/>
      <c r="R19" s="592" t="n"/>
      <c r="S19" s="599" t="inlineStr">
        <is>
          <t>Hanger type</t>
        </is>
      </c>
      <c r="T19" s="6" t="n"/>
      <c r="U19" s="178" t="inlineStr">
        <is>
          <t>Special Purpose Machine/ Fixture</t>
        </is>
      </c>
      <c r="V19" s="179" t="n"/>
      <c r="W19" s="180" t="inlineStr">
        <is>
          <t>Hanger Type</t>
        </is>
      </c>
      <c r="X19" s="194" t="n">
        <v>0</v>
      </c>
      <c r="Y19" s="181" t="n"/>
      <c r="Z19" s="182" t="n">
        <v>10</v>
      </c>
      <c r="AB19" s="82" t="n">
        <v>30</v>
      </c>
      <c r="AC19" s="5" t="inlineStr">
        <is>
          <t>TURNING CENTER- Diffuser &amp; Inlet M/cng (LT-20)</t>
        </is>
      </c>
      <c r="AD19" s="196" t="n"/>
      <c r="AE19" s="82" t="n">
        <v>5.9</v>
      </c>
      <c r="AF19" s="82" t="n">
        <v>1</v>
      </c>
      <c r="AG19" s="196" t="n"/>
      <c r="AH19" s="197" t="n">
        <v>40</v>
      </c>
      <c r="AI19" s="198">
        <f>AH19</f>
        <v/>
      </c>
      <c r="AJ19" s="597">
        <f>AI19*1.05/100</f>
        <v/>
      </c>
      <c r="AK19" s="9" t="n"/>
      <c r="AL19" s="210" t="inlineStr">
        <is>
          <t xml:space="preserve">Part wgt incl. packing </t>
        </is>
      </c>
      <c r="AM19" s="211">
        <f>AM18*1.1</f>
        <v/>
      </c>
      <c r="AP19" s="202" t="n">
        <v>30</v>
      </c>
      <c r="AQ19" s="598" t="inlineStr">
        <is>
          <t>TURNING CENTER- Diffuser &amp; Inlet M/cng (LT-20)</t>
        </is>
      </c>
      <c r="AR19" s="568" t="n"/>
      <c r="AS19" s="63" t="n">
        <v>5.9</v>
      </c>
      <c r="AT19" s="88" t="n">
        <v>1</v>
      </c>
      <c r="AU19" s="204" t="n"/>
      <c r="AV19" s="205" t="n"/>
      <c r="AW19" s="206">
        <f>AT19*AV19*AU19</f>
        <v/>
      </c>
      <c r="AX19" s="207" t="n">
        <v>0.1</v>
      </c>
    </row>
    <row r="20" ht="36.75" customHeight="1" s="562">
      <c r="B20" s="112" t="inlineStr">
        <is>
          <t>Machine selected (Model &amp; Make)</t>
        </is>
      </c>
      <c r="C20" s="212" t="n"/>
      <c r="D20" s="213" t="n"/>
      <c r="E20" s="100" t="n"/>
      <c r="F20" s="20" t="inlineStr">
        <is>
          <t>Cast-in insert involved</t>
        </is>
      </c>
      <c r="G20" s="214" t="inlineStr">
        <is>
          <t>NA</t>
        </is>
      </c>
      <c r="I20" s="116" t="n"/>
      <c r="J20" s="93" t="inlineStr">
        <is>
          <t>Linishing</t>
        </is>
      </c>
      <c r="K20" s="118" t="n"/>
      <c r="L20" s="191" t="n"/>
      <c r="M20" s="119" t="n">
        <v>1</v>
      </c>
      <c r="N20" s="106" t="n">
        <v>2</v>
      </c>
      <c r="O20" s="594" t="n"/>
      <c r="P20" s="565" t="n"/>
      <c r="Q20" s="565" t="n"/>
      <c r="R20" s="566" t="n"/>
      <c r="S20" s="595" t="n"/>
      <c r="T20" s="6" t="n"/>
      <c r="U20" s="215" t="n"/>
      <c r="V20" s="179" t="n"/>
      <c r="W20" s="180" t="n">
        <v>30</v>
      </c>
      <c r="X20" s="194" t="n"/>
      <c r="Y20" s="181" t="n"/>
      <c r="Z20" s="182" t="n">
        <v>10</v>
      </c>
      <c r="AB20" s="82" t="n"/>
      <c r="AC20" s="216" t="inlineStr">
        <is>
          <t>TURNING CENTER- Outlet M/cng- SMALL, MEDIUM (LT-20)</t>
        </is>
      </c>
      <c r="AD20" s="196" t="n"/>
      <c r="AE20" s="82" t="n">
        <v>5</v>
      </c>
      <c r="AF20" s="82" t="n">
        <v>1</v>
      </c>
      <c r="AG20" s="196" t="n"/>
      <c r="AH20" s="197" t="n">
        <v>40</v>
      </c>
      <c r="AI20" s="198">
        <f>AH20</f>
        <v/>
      </c>
      <c r="AJ20" s="597">
        <f>AI20*1.05/100</f>
        <v/>
      </c>
      <c r="AK20" s="9" t="n"/>
      <c r="AL20" s="210" t="inlineStr">
        <is>
          <t>Logistics cost</t>
        </is>
      </c>
      <c r="AM20" s="211">
        <f>AM19*10.5</f>
        <v/>
      </c>
      <c r="AP20" s="202">
        <f>AP19+10</f>
        <v/>
      </c>
      <c r="AQ20" s="598" t="inlineStr">
        <is>
          <t>TURNING CENTER- Outlet M/cng- SMALL, MEDIUM (LT-20)</t>
        </is>
      </c>
      <c r="AR20" s="568" t="n"/>
      <c r="AS20" s="63" t="n">
        <v>5</v>
      </c>
      <c r="AT20" s="88" t="n">
        <v>1</v>
      </c>
      <c r="AU20" s="204" t="n"/>
      <c r="AV20" s="205" t="n"/>
      <c r="AW20" s="206">
        <f>AT20*AV20*AU20</f>
        <v/>
      </c>
      <c r="AX20" s="207" t="n">
        <v>0.1</v>
      </c>
    </row>
    <row r="21" ht="40.5" customHeight="1" s="562">
      <c r="B21" s="112" t="inlineStr">
        <is>
          <t>Cell capacity (Nos)</t>
        </is>
      </c>
      <c r="C21" s="217" t="n"/>
      <c r="D21" s="100" t="n"/>
      <c r="E21" s="100" t="n"/>
      <c r="F21" s="152" t="inlineStr">
        <is>
          <t>No of cast-in insert/ Part (Nos)</t>
        </is>
      </c>
      <c r="G21" s="218" t="n">
        <v>0</v>
      </c>
      <c r="I21" s="219" t="n"/>
      <c r="J21" s="155" t="inlineStr">
        <is>
          <t xml:space="preserve">Shot blasting </t>
        </is>
      </c>
      <c r="K21" s="155" t="n"/>
      <c r="L21" s="191" t="n"/>
      <c r="M21" s="119" t="n"/>
      <c r="N21" s="220" t="n"/>
      <c r="O21" s="221" t="inlineStr">
        <is>
          <t>Surface coating involved (if any)</t>
        </is>
      </c>
      <c r="P21" s="155" t="n"/>
      <c r="Q21" s="155" t="n"/>
      <c r="R21" s="155" t="n"/>
      <c r="S21" s="222" t="inlineStr">
        <is>
          <t>NA</t>
        </is>
      </c>
      <c r="T21" s="6" t="n"/>
      <c r="U21" s="178" t="n"/>
      <c r="V21" s="179" t="n"/>
      <c r="W21" s="180" t="inlineStr">
        <is>
          <t>-</t>
        </is>
      </c>
      <c r="X21" s="180" t="n">
        <v>192</v>
      </c>
      <c r="Y21" s="181" t="n"/>
      <c r="Z21" s="182" t="n">
        <v>10</v>
      </c>
      <c r="AB21" s="82" t="n"/>
      <c r="AC21" s="216" t="inlineStr">
        <is>
          <t>VMC 450 &amp; 5th AXIS - WTH ROTARY TABLE, XYZ600x450x500, TS-900 X 450</t>
        </is>
      </c>
      <c r="AD21" s="196" t="n"/>
      <c r="AE21" s="82" t="n">
        <v>7</v>
      </c>
      <c r="AF21" s="82" t="n">
        <v>1</v>
      </c>
      <c r="AG21" s="196" t="n"/>
      <c r="AH21" s="82" t="n">
        <v>89</v>
      </c>
      <c r="AI21" s="198">
        <f>AH21</f>
        <v/>
      </c>
      <c r="AJ21" s="597">
        <f>AI21*1.05/100</f>
        <v/>
      </c>
      <c r="AK21" s="9" t="n"/>
      <c r="AL21" s="210" t="n"/>
      <c r="AM21" s="223" t="n"/>
      <c r="AP21" s="202">
        <f>AP20+10</f>
        <v/>
      </c>
      <c r="AQ21" s="598" t="inlineStr">
        <is>
          <t>VMC 450 &amp; 5th AXIS - WTH ROTARY TABLE, XYZ- 600x450x500, TS-900 X 450</t>
        </is>
      </c>
      <c r="AR21" s="568" t="n"/>
      <c r="AS21" s="63" t="n">
        <v>7</v>
      </c>
      <c r="AT21" s="88" t="n">
        <v>1</v>
      </c>
      <c r="AU21" s="204" t="n"/>
      <c r="AV21" s="205" t="n"/>
      <c r="AW21" s="206">
        <f>AT21*AV21*AU21</f>
        <v/>
      </c>
      <c r="AX21" s="207" t="n">
        <v>0.1</v>
      </c>
    </row>
    <row r="22" ht="39" customHeight="1" s="562">
      <c r="B22" s="112" t="inlineStr">
        <is>
          <t>Machine Utilization    (%)</t>
        </is>
      </c>
      <c r="C22" s="224" t="n"/>
      <c r="D22" s="225" t="n"/>
      <c r="E22" s="100" t="n"/>
      <c r="F22" s="582" t="inlineStr">
        <is>
          <t>CYCLE TIME DATA</t>
        </is>
      </c>
      <c r="G22" s="583" t="n"/>
      <c r="I22" s="170" t="n"/>
      <c r="J22" s="226" t="inlineStr">
        <is>
          <t>Capital Investments (Rs. Lac)</t>
        </is>
      </c>
      <c r="K22" s="202" t="inlineStr">
        <is>
          <t>Utilisation%</t>
        </is>
      </c>
      <c r="L22" s="202" t="inlineStr">
        <is>
          <t>No of M/cs/ No of Units</t>
        </is>
      </c>
      <c r="M22" s="202" t="inlineStr">
        <is>
          <t>Amount /cell</t>
        </is>
      </c>
      <c r="N22" s="227" t="inlineStr">
        <is>
          <t>Rs. In L</t>
        </is>
      </c>
      <c r="O22" s="78" t="inlineStr">
        <is>
          <t>Dep%</t>
        </is>
      </c>
      <c r="P22" s="9" t="n"/>
      <c r="Q22" s="226" t="inlineStr">
        <is>
          <t>Operating cost with Inflation</t>
        </is>
      </c>
      <c r="R22" s="228" t="n"/>
      <c r="S22" s="202" t="inlineStr">
        <is>
          <t>Amount (Rs.) in L</t>
        </is>
      </c>
      <c r="T22" s="78" t="inlineStr">
        <is>
          <t>Dep%</t>
        </is>
      </c>
      <c r="U22" s="178" t="n"/>
      <c r="V22" s="179" t="n"/>
      <c r="W22" s="180" t="n"/>
      <c r="X22" s="180" t="n"/>
      <c r="Y22" s="229" t="n"/>
      <c r="Z22" s="182" t="n">
        <v>33</v>
      </c>
      <c r="AB22" s="82">
        <f>AB19+10</f>
        <v/>
      </c>
      <c r="AC22" s="5" t="inlineStr">
        <is>
          <t xml:space="preserve">washing machine </t>
        </is>
      </c>
      <c r="AD22" s="196" t="n"/>
      <c r="AE22" s="82" t="n">
        <v>2</v>
      </c>
      <c r="AF22" s="82" t="n">
        <v>1</v>
      </c>
      <c r="AG22" s="196" t="n"/>
      <c r="AH22" s="197" t="n">
        <v>36</v>
      </c>
      <c r="AI22" s="198">
        <f>AH22</f>
        <v/>
      </c>
      <c r="AJ22" s="597">
        <f>AI22*1.05/100</f>
        <v/>
      </c>
      <c r="AK22" s="9" t="n"/>
      <c r="AL22" s="210" t="n"/>
      <c r="AM22" s="223" t="n"/>
      <c r="AP22" s="202">
        <f>AP21+10</f>
        <v/>
      </c>
      <c r="AQ22" s="598" t="inlineStr">
        <is>
          <t>WASHING MACHINE</t>
        </is>
      </c>
      <c r="AR22" s="568" t="n"/>
      <c r="AS22" s="63" t="n">
        <v>2</v>
      </c>
      <c r="AT22" s="88" t="n">
        <v>1</v>
      </c>
      <c r="AU22" s="204" t="n"/>
      <c r="AV22" s="205" t="n"/>
      <c r="AW22" s="206">
        <f>AT22*AV22*AU22</f>
        <v/>
      </c>
      <c r="AX22" s="207" t="n">
        <v>0.1</v>
      </c>
    </row>
    <row r="23" ht="27" customHeight="1" s="562">
      <c r="B23" s="112" t="inlineStr">
        <is>
          <t>Number of Machines  (Nos)</t>
        </is>
      </c>
      <c r="C23" s="217" t="n"/>
      <c r="D23" s="100" t="n"/>
      <c r="E23" s="100" t="n"/>
      <c r="F23" s="600" t="inlineStr">
        <is>
          <t>Cycle Time (Sec)
(includes Die Opening, Spray Dycote (FD), Core out &amp; ejection, Pick Casting, Visual check &amp; placeon table, Spray Dycote (MD), Core in, Die close, Plunger tip Lubrication, Pick up Metal &amp; Pour, Inj. time s1 &amp; laddle back, Injection, Solidification &amp; Die open &amp;compt extraction sequentially)</t>
        </is>
      </c>
      <c r="G23" s="231" t="n"/>
      <c r="I23" s="601" t="inlineStr">
        <is>
          <t>Sand core</t>
        </is>
      </c>
      <c r="J23" s="233" t="inlineStr">
        <is>
          <t>Core shooting M/c</t>
        </is>
      </c>
      <c r="K23" s="234" t="n">
        <v>32</v>
      </c>
      <c r="L23" s="602" t="n">
        <v>0</v>
      </c>
      <c r="M23" s="236" t="n">
        <v>45</v>
      </c>
      <c r="N23" s="237">
        <f>(M23*L23)*V5</f>
        <v/>
      </c>
      <c r="O23" s="238" t="n">
        <v>10</v>
      </c>
      <c r="P23" s="601" t="inlineStr">
        <is>
          <t>Sand core</t>
        </is>
      </c>
      <c r="Q23" s="233" t="inlineStr">
        <is>
          <t>Dressing Station</t>
        </is>
      </c>
      <c r="R23" s="586" t="n"/>
      <c r="S23" s="236" t="n">
        <v>0.4</v>
      </c>
      <c r="T23" s="6" t="n">
        <v>33</v>
      </c>
      <c r="U23" s="240" t="inlineStr">
        <is>
          <t>gauges</t>
        </is>
      </c>
      <c r="V23" s="241" t="n"/>
      <c r="W23" s="242" t="n"/>
      <c r="X23" s="243" t="n"/>
      <c r="Y23" s="229" t="n"/>
      <c r="Z23" s="182" t="n"/>
      <c r="AB23" s="82">
        <f>AB22+10</f>
        <v/>
      </c>
      <c r="AC23" s="5" t="inlineStr">
        <is>
          <t>DRY CUM WET LEAK TEST</t>
        </is>
      </c>
      <c r="AD23" s="196" t="n"/>
      <c r="AE23" s="82" t="n">
        <v>2</v>
      </c>
      <c r="AF23" s="82" t="n">
        <v>1</v>
      </c>
      <c r="AG23" s="196" t="n"/>
      <c r="AH23" s="197" t="n">
        <v>18</v>
      </c>
      <c r="AI23" s="198">
        <f>AH23</f>
        <v/>
      </c>
      <c r="AJ23" s="597">
        <f>AI23*1.05/100</f>
        <v/>
      </c>
      <c r="AK23" s="9" t="n"/>
      <c r="AL23" s="244" t="inlineStr">
        <is>
          <t>Logistics + warehouse</t>
        </is>
      </c>
      <c r="AM23" s="245">
        <f>AM20*1.02</f>
        <v/>
      </c>
      <c r="AP23" s="202">
        <f>AP22+10</f>
        <v/>
      </c>
      <c r="AQ23" s="598" t="inlineStr">
        <is>
          <t>DRY CUM WET LEAK TEST</t>
        </is>
      </c>
      <c r="AR23" s="568" t="n"/>
      <c r="AS23" s="63" t="n">
        <v>2</v>
      </c>
      <c r="AT23" s="88" t="n">
        <v>1</v>
      </c>
      <c r="AU23" s="204" t="n"/>
      <c r="AV23" s="205" t="n"/>
      <c r="AW23" s="206">
        <f>AT23*AV23*AU23</f>
        <v/>
      </c>
      <c r="AX23" s="207" t="n">
        <v>0.1</v>
      </c>
    </row>
    <row r="24" ht="16.5" customHeight="1" s="562">
      <c r="B24" s="246" t="inlineStr">
        <is>
          <t>Others (if any)</t>
        </is>
      </c>
      <c r="C24" s="247" t="n"/>
      <c r="D24" s="247" t="inlineStr">
        <is>
          <t>-</t>
        </is>
      </c>
      <c r="E24" s="248" t="n"/>
      <c r="F24" s="575" t="n"/>
      <c r="G24" s="249" t="n">
        <v>0</v>
      </c>
      <c r="I24" s="603" t="n"/>
      <c r="J24" s="251" t="inlineStr">
        <is>
          <t>Core Painting Oven (if any)</t>
        </is>
      </c>
      <c r="K24" s="252" t="n"/>
      <c r="L24" s="595" t="n"/>
      <c r="M24" s="236" t="n"/>
      <c r="N24" s="237">
        <f>M24*L23</f>
        <v/>
      </c>
      <c r="O24" s="238" t="n">
        <v>10</v>
      </c>
      <c r="P24" s="603" t="n"/>
      <c r="Q24" s="251" t="inlineStr">
        <is>
          <t>Core Painting Station</t>
        </is>
      </c>
      <c r="R24" s="589" t="n"/>
      <c r="S24" s="236" t="n">
        <v>0.8</v>
      </c>
      <c r="T24" s="6" t="n">
        <v>33</v>
      </c>
      <c r="U24" s="215" t="inlineStr">
        <is>
          <t>Total Assembly Investment</t>
        </is>
      </c>
      <c r="V24" s="254" t="n"/>
      <c r="W24" s="255">
        <f>SUM(W17:W23)</f>
        <v/>
      </c>
      <c r="X24" s="256">
        <f>SUM(X17:X23)</f>
        <v/>
      </c>
      <c r="Y24" s="257" t="n"/>
      <c r="Z24" s="182" t="n"/>
      <c r="AB24" s="82">
        <f>AB23+10</f>
        <v/>
      </c>
      <c r="AC24" s="5" t="inlineStr">
        <is>
          <t>Laser marking with 2D scanner</t>
        </is>
      </c>
      <c r="AD24" s="196" t="n"/>
      <c r="AE24" s="82" t="n">
        <v>2</v>
      </c>
      <c r="AF24" s="82" t="n">
        <v>1</v>
      </c>
      <c r="AG24" s="196" t="n"/>
      <c r="AH24" s="197" t="n">
        <v>24</v>
      </c>
      <c r="AI24" s="198">
        <f>AH24</f>
        <v/>
      </c>
      <c r="AJ24" s="597">
        <f>AI24*1.05/100</f>
        <v/>
      </c>
      <c r="AK24" s="9" t="n"/>
      <c r="AL24" s="9" t="n"/>
      <c r="AM24" s="10" t="n"/>
      <c r="AP24" s="202">
        <f>AP23+10</f>
        <v/>
      </c>
      <c r="AQ24" s="598" t="inlineStr">
        <is>
          <t>LASER MARKING WITH 2D SCANNER</t>
        </is>
      </c>
      <c r="AR24" s="568" t="n"/>
      <c r="AS24" s="63" t="n">
        <v>2</v>
      </c>
      <c r="AT24" s="88" t="n">
        <v>1</v>
      </c>
      <c r="AU24" s="204" t="n"/>
      <c r="AV24" s="205" t="n"/>
      <c r="AW24" s="206">
        <f>AT24*AV24*AU24</f>
        <v/>
      </c>
      <c r="AX24" s="207" t="n">
        <v>0.1</v>
      </c>
    </row>
    <row r="25" ht="16.5" customHeight="1" s="562">
      <c r="B25" s="258" t="inlineStr">
        <is>
          <t xml:space="preserve">INVESTMENT DETAILS (Cost Rs. Lac)                </t>
        </is>
      </c>
      <c r="C25" s="604" t="inlineStr">
        <is>
          <t xml:space="preserve">Capital          </t>
        </is>
      </c>
      <c r="D25" s="569" t="n"/>
      <c r="E25" s="78" t="inlineStr">
        <is>
          <t>Dep%</t>
        </is>
      </c>
      <c r="F25" s="575" t="n"/>
      <c r="G25" s="261" t="n"/>
      <c r="I25" s="603" t="n"/>
      <c r="J25" s="251" t="inlineStr">
        <is>
          <t>Thermal Decoring M/c</t>
        </is>
      </c>
      <c r="K25" s="262" t="n"/>
      <c r="L25" s="605" t="n"/>
      <c r="M25" s="252" t="n"/>
      <c r="N25" s="237">
        <f>M25*L25</f>
        <v/>
      </c>
      <c r="O25" s="238" t="n">
        <v>10</v>
      </c>
      <c r="P25" s="603" t="n"/>
      <c r="Q25" s="251" t="inlineStr">
        <is>
          <t>Core Handling Crates &amp; Trolleys</t>
        </is>
      </c>
      <c r="R25" s="589" t="n"/>
      <c r="S25" s="236" t="n"/>
      <c r="T25" s="6" t="n">
        <v>33</v>
      </c>
      <c r="U25" s="264" t="inlineStr">
        <is>
          <t>Total Assembly Investment for all cells</t>
        </is>
      </c>
      <c r="V25" s="13" t="n"/>
      <c r="W25" s="265">
        <f>IF((W14&gt;=1),(W24*W14),0)</f>
        <v/>
      </c>
      <c r="X25" s="256">
        <f>IF((X14&gt;=1),(X24*X14),0)</f>
        <v/>
      </c>
      <c r="Y25" s="266" t="n"/>
      <c r="Z25" s="182" t="n"/>
      <c r="AB25" s="82" t="n">
        <v>60</v>
      </c>
      <c r="AC25" s="5" t="inlineStr">
        <is>
          <t>final inspection small</t>
        </is>
      </c>
      <c r="AD25" s="196" t="n"/>
      <c r="AE25" s="82" t="n">
        <v>2</v>
      </c>
      <c r="AF25" s="82" t="n">
        <v>1</v>
      </c>
      <c r="AG25" s="196" t="n"/>
      <c r="AH25" s="197" t="n">
        <v>2</v>
      </c>
      <c r="AI25" s="198">
        <f>AH25</f>
        <v/>
      </c>
      <c r="AJ25" s="597">
        <f>AI25*1.05/100</f>
        <v/>
      </c>
      <c r="AK25" s="9" t="n"/>
      <c r="AL25" s="9" t="inlineStr">
        <is>
          <t>TCL - Jhamshedpur - Rate</t>
        </is>
      </c>
      <c r="AM25" s="10" t="n">
        <v>84000</v>
      </c>
      <c r="AP25" s="202">
        <f>AP24+10</f>
        <v/>
      </c>
      <c r="AQ25" s="598" t="inlineStr">
        <is>
          <t>FINAL INSPECTION AREA</t>
        </is>
      </c>
      <c r="AR25" s="568" t="n"/>
      <c r="AS25" s="63" t="n">
        <v>2</v>
      </c>
      <c r="AT25" s="88" t="n">
        <v>1</v>
      </c>
      <c r="AU25" s="204" t="n"/>
      <c r="AV25" s="205" t="n"/>
      <c r="AW25" s="206">
        <f>AT25*AV25*AU25</f>
        <v/>
      </c>
      <c r="AX25" s="207" t="n">
        <v>0.1</v>
      </c>
    </row>
    <row r="26" ht="15.75" customHeight="1" s="562">
      <c r="B26" s="267" t="inlineStr">
        <is>
          <t>Casting Machine + X Ray Machine cost</t>
        </is>
      </c>
      <c r="C26" s="268" t="n"/>
      <c r="D26" s="269" t="n"/>
      <c r="E26" s="270" t="n">
        <v>10</v>
      </c>
      <c r="F26" s="594" t="n"/>
      <c r="G26" s="271" t="n"/>
      <c r="I26" s="603" t="n"/>
      <c r="J26" s="272" t="inlineStr">
        <is>
          <t>Crane to handle basket</t>
        </is>
      </c>
      <c r="K26" s="252" t="n"/>
      <c r="L26" s="595" t="n"/>
      <c r="M26" s="252" t="n"/>
      <c r="N26" s="237">
        <f>L25*M26</f>
        <v/>
      </c>
      <c r="O26" s="238" t="n">
        <v>10</v>
      </c>
      <c r="P26" s="603" t="n"/>
      <c r="Q26" s="251" t="inlineStr">
        <is>
          <t>Core Handling Trolleys</t>
        </is>
      </c>
      <c r="R26" s="589" t="n"/>
      <c r="S26" s="252" t="n"/>
      <c r="T26" s="6" t="n">
        <v>33</v>
      </c>
      <c r="U26" s="215" t="n"/>
      <c r="V26" s="273" t="n"/>
      <c r="W26" s="274" t="n"/>
      <c r="X26" s="274" t="n"/>
      <c r="Y26" s="275" t="n"/>
      <c r="Z26" s="182" t="n"/>
      <c r="AB26" s="82">
        <f>AB25+10</f>
        <v/>
      </c>
      <c r="AD26" s="196" t="n"/>
      <c r="AE26" s="82" t="n">
        <v>2</v>
      </c>
      <c r="AF26" s="82" t="n"/>
      <c r="AG26" s="196" t="n"/>
      <c r="AH26" s="197" t="n"/>
      <c r="AI26" s="198">
        <f>AH26</f>
        <v/>
      </c>
      <c r="AJ26" s="597">
        <f>AI26*1.05/100</f>
        <v/>
      </c>
      <c r="AK26" s="9" t="n"/>
      <c r="AL26" s="9" t="inlineStr">
        <is>
          <t>parts/box</t>
        </is>
      </c>
      <c r="AM26" s="10">
        <f>' Cost template'!BB39</f>
        <v/>
      </c>
      <c r="AP26" s="202">
        <f>AP25+10</f>
        <v/>
      </c>
      <c r="AQ26" s="598" t="inlineStr">
        <is>
          <t>ENDOSCOPE STATION</t>
        </is>
      </c>
      <c r="AR26" s="568" t="n"/>
      <c r="AS26" s="63" t="n">
        <v>2</v>
      </c>
      <c r="AT26" s="88" t="n">
        <v>1</v>
      </c>
      <c r="AU26" s="204" t="n"/>
      <c r="AV26" s="205" t="n"/>
      <c r="AW26" s="206">
        <f>AT26*AV26*AU26</f>
        <v/>
      </c>
      <c r="AX26" s="207" t="n">
        <v>0.1</v>
      </c>
    </row>
    <row r="27" ht="35.25" customHeight="1" s="562">
      <c r="B27" s="276" t="inlineStr">
        <is>
          <t>Post casting facilities
(Includes Cooling trolly, Degating tool, Fixtures, Gauges, Cell formation, Sh/ blasting hangers, Storage etc)</t>
        </is>
      </c>
      <c r="C27" s="268" t="n"/>
      <c r="D27" s="277" t="n"/>
      <c r="E27" s="278" t="n">
        <v>33</v>
      </c>
      <c r="F27" s="279" t="inlineStr">
        <is>
          <t>Casting Output / Hr (Nos)</t>
        </is>
      </c>
      <c r="G27" s="190">
        <f>+IFERROR((60*60*C18)/G24,0)</f>
        <v/>
      </c>
      <c r="I27" s="606" t="n"/>
      <c r="J27" s="281" t="inlineStr">
        <is>
          <t>Vibro Decoring Machine</t>
        </is>
      </c>
      <c r="K27" s="282" t="n">
        <v>25</v>
      </c>
      <c r="L27" s="283" t="n">
        <v>1</v>
      </c>
      <c r="M27" s="284" t="n">
        <v>20</v>
      </c>
      <c r="N27" s="237">
        <f>(L27*M27)*V5</f>
        <v/>
      </c>
      <c r="O27" s="238" t="n">
        <v>10</v>
      </c>
      <c r="P27" s="603" t="n"/>
      <c r="Q27" s="272" t="inlineStr">
        <is>
          <t>Core visual inspection / Table / tools</t>
        </is>
      </c>
      <c r="R27" s="589" t="n"/>
      <c r="S27" s="252" t="n">
        <v>0.8</v>
      </c>
      <c r="T27" s="6" t="n">
        <v>33</v>
      </c>
      <c r="U27" s="286" t="inlineStr">
        <is>
          <t>Sealant consumption/ part (if any) (ml)</t>
        </is>
      </c>
      <c r="V27" s="287" t="n"/>
      <c r="W27" s="287" t="n"/>
      <c r="X27" s="288" t="n"/>
      <c r="Y27" s="289" t="n"/>
      <c r="Z27" s="182" t="n"/>
      <c r="AB27" s="82">
        <f>AB26+10</f>
        <v/>
      </c>
      <c r="AC27" s="5" t="inlineStr">
        <is>
          <t>ENDOSCOPE STATION</t>
        </is>
      </c>
      <c r="AD27" s="196" t="n"/>
      <c r="AE27" s="82" t="n">
        <v>2</v>
      </c>
      <c r="AF27" s="82" t="n">
        <v>1</v>
      </c>
      <c r="AG27" s="196" t="n"/>
      <c r="AH27" s="82" t="n">
        <v>8</v>
      </c>
      <c r="AI27" s="198">
        <f>AH27</f>
        <v/>
      </c>
      <c r="AJ27" s="597">
        <f>AI27*1.05/100</f>
        <v/>
      </c>
      <c r="AK27" s="9" t="n"/>
      <c r="AL27" s="9" t="inlineStr">
        <is>
          <t>No of box</t>
        </is>
      </c>
      <c r="AM27" s="10">
        <f>(AM26*30)</f>
        <v/>
      </c>
      <c r="AP27" s="202">
        <f>AP26+10</f>
        <v/>
      </c>
      <c r="AQ27" s="598" t="n"/>
      <c r="AR27" s="568" t="n"/>
      <c r="AS27" s="63" t="n"/>
      <c r="AT27" s="108" t="n"/>
      <c r="AU27" s="290" t="n"/>
      <c r="AV27" s="205" t="n"/>
      <c r="AW27" s="206">
        <f>AT27*AV27*AU27</f>
        <v/>
      </c>
      <c r="AX27" s="207" t="n">
        <v>0.1</v>
      </c>
    </row>
    <row r="28" ht="17.25" customHeight="1" s="562">
      <c r="B28" s="291" t="inlineStr">
        <is>
          <t>Spray Head</t>
        </is>
      </c>
      <c r="C28" s="268" t="n"/>
      <c r="D28" s="268" t="n"/>
      <c r="E28" s="292" t="n">
        <v>10</v>
      </c>
      <c r="F28" s="607" t="inlineStr">
        <is>
          <t>TESTING COST DETAILS                       (Cost in  Rs. Only )</t>
        </is>
      </c>
      <c r="G28" s="583" t="n"/>
      <c r="I28" s="601" t="inlineStr">
        <is>
          <t>Casting</t>
        </is>
      </c>
      <c r="J28" s="233" t="inlineStr">
        <is>
          <t>Tilting Machine</t>
        </is>
      </c>
      <c r="K28" s="234" t="n"/>
      <c r="L28" s="602" t="n">
        <v>1</v>
      </c>
      <c r="M28" s="236" t="n"/>
      <c r="N28" s="237">
        <f>M28*L28*V5</f>
        <v/>
      </c>
      <c r="O28" s="238" t="n">
        <v>10</v>
      </c>
      <c r="P28" s="603" t="n"/>
      <c r="Q28" s="251" t="inlineStr">
        <is>
          <t xml:space="preserve">Vibro Decoring Hammer </t>
        </is>
      </c>
      <c r="R28" s="589" t="n"/>
      <c r="S28" s="252" t="n">
        <v>1</v>
      </c>
      <c r="T28" s="6" t="n">
        <v>33</v>
      </c>
      <c r="U28" s="294" t="inlineStr">
        <is>
          <t>Power rating (Kw/hr)</t>
        </is>
      </c>
      <c r="V28" s="295" t="n"/>
      <c r="W28" s="295" t="n"/>
      <c r="X28" s="296" t="n"/>
      <c r="Y28" s="297" t="n"/>
      <c r="Z28" s="182" t="n"/>
      <c r="AB28" s="82">
        <f>AB27+10</f>
        <v/>
      </c>
      <c r="AD28" s="196" t="n"/>
      <c r="AE28" s="82" t="n"/>
      <c r="AF28" s="82" t="n"/>
      <c r="AG28" s="196" t="n"/>
      <c r="AH28" s="82" t="n"/>
      <c r="AI28" s="198">
        <f>AH28</f>
        <v/>
      </c>
      <c r="AJ28" s="597">
        <f>AI28*1.05/100</f>
        <v/>
      </c>
      <c r="AK28" s="9" t="n"/>
      <c r="AL28" s="9" t="inlineStr">
        <is>
          <t>Logistics</t>
        </is>
      </c>
      <c r="AM28" s="10">
        <f>AM25/AM27</f>
        <v/>
      </c>
      <c r="AP28" s="202">
        <f>AP27+10</f>
        <v/>
      </c>
      <c r="AQ28" s="598" t="n"/>
      <c r="AR28" s="568" t="n"/>
      <c r="AS28" s="63" t="n"/>
      <c r="AT28" s="108" t="n"/>
      <c r="AU28" s="290" t="n"/>
      <c r="AV28" s="205" t="n"/>
      <c r="AW28" s="206">
        <f>AT28*AV28*AU28</f>
        <v/>
      </c>
      <c r="AX28" s="207" t="n">
        <v>0.1</v>
      </c>
    </row>
    <row r="29" ht="25.5" customHeight="1" s="562">
      <c r="B29" s="291" t="inlineStr">
        <is>
          <t>Vacuum attachment</t>
        </is>
      </c>
      <c r="C29" s="268" t="n"/>
      <c r="D29" s="268" t="n"/>
      <c r="E29" s="292" t="n">
        <v>10</v>
      </c>
      <c r="F29" s="298" t="inlineStr">
        <is>
          <t>Chemical Testing cost/ part</t>
        </is>
      </c>
      <c r="G29" s="299" t="n"/>
      <c r="I29" s="603" t="n"/>
      <c r="J29" s="251" t="inlineStr">
        <is>
          <t>Vertical Machine</t>
        </is>
      </c>
      <c r="K29" s="262" t="n">
        <v>38</v>
      </c>
      <c r="L29" s="603" t="n"/>
      <c r="M29" s="252" t="n">
        <v>25</v>
      </c>
      <c r="N29" s="300">
        <f>(M29*L28)*V5</f>
        <v/>
      </c>
      <c r="O29" s="238" t="n">
        <v>10</v>
      </c>
      <c r="P29" s="606" t="n"/>
      <c r="Q29" s="281" t="inlineStr">
        <is>
          <t>Vibro Decoring Fixture</t>
        </is>
      </c>
      <c r="R29" s="608" t="n"/>
      <c r="S29" s="284" t="n">
        <v>0.8</v>
      </c>
      <c r="T29" s="6" t="n">
        <v>33</v>
      </c>
      <c r="U29" s="303" t="inlineStr">
        <is>
          <t>Is it feasible to use M/cng operator for assembly (Yes / No)</t>
        </is>
      </c>
      <c r="V29" s="304" t="n"/>
      <c r="W29" s="304" t="n"/>
      <c r="X29" s="305" t="n"/>
      <c r="Y29" s="306" t="n"/>
      <c r="Z29" s="182" t="n"/>
      <c r="AB29" s="82">
        <f>AB28+10</f>
        <v/>
      </c>
      <c r="AD29" s="196" t="n"/>
      <c r="AE29" s="82" t="n"/>
      <c r="AF29" s="82" t="n"/>
      <c r="AG29" s="196" t="n"/>
      <c r="AH29" s="82" t="n"/>
      <c r="AI29" s="198">
        <f>AH29</f>
        <v/>
      </c>
      <c r="AJ29" s="597">
        <f>AI29*1.05/100</f>
        <v/>
      </c>
      <c r="AK29" s="9" t="n"/>
      <c r="AL29" s="9" t="n"/>
      <c r="AM29" s="10" t="n"/>
      <c r="AP29" s="202">
        <f>AP28+10</f>
        <v/>
      </c>
      <c r="AQ29" s="367" t="n"/>
      <c r="AR29" s="568" t="n"/>
      <c r="AS29" s="308" t="n"/>
      <c r="AT29" s="309" t="n"/>
      <c r="AU29" s="310" t="n"/>
      <c r="AV29" s="205" t="n"/>
      <c r="AW29" s="206">
        <f>AU29*AV29</f>
        <v/>
      </c>
      <c r="AX29" s="207" t="n">
        <v>0.1</v>
      </c>
    </row>
    <row r="30" ht="18.75" customHeight="1" s="562">
      <c r="B30" s="291" t="inlineStr">
        <is>
          <t>Thermo regulation</t>
        </is>
      </c>
      <c r="C30" s="268" t="n"/>
      <c r="D30" s="268" t="n"/>
      <c r="E30" s="292" t="n">
        <v>10</v>
      </c>
      <c r="F30" s="311" t="inlineStr">
        <is>
          <t>X Ray Testing cost / part</t>
        </is>
      </c>
      <c r="G30" s="299" t="n"/>
      <c r="I30" s="603" t="n"/>
      <c r="J30" s="251" t="inlineStr">
        <is>
          <t>Stand type Machine</t>
        </is>
      </c>
      <c r="K30" s="262" t="n"/>
      <c r="L30" s="603" t="n"/>
      <c r="M30" s="252" t="n"/>
      <c r="N30" s="237">
        <f>M30*L28</f>
        <v/>
      </c>
      <c r="O30" s="238" t="n">
        <v>10</v>
      </c>
      <c r="P30" s="601" t="inlineStr">
        <is>
          <t>Casting</t>
        </is>
      </c>
      <c r="Q30" s="233" t="inlineStr">
        <is>
          <t>Casting Table</t>
        </is>
      </c>
      <c r="R30" s="586" t="n"/>
      <c r="S30" s="252" t="n">
        <v>0.3</v>
      </c>
      <c r="T30" s="6" t="n">
        <v>33</v>
      </c>
      <c r="U30" s="294" t="inlineStr">
        <is>
          <t>Manpower / shift/ cell</t>
        </is>
      </c>
      <c r="V30" s="295" t="n"/>
      <c r="W30" s="304" t="n"/>
      <c r="X30" s="296" t="n"/>
      <c r="Y30" s="297" t="n"/>
      <c r="Z30" s="182" t="n"/>
      <c r="AB30" s="82">
        <f>AB29+10</f>
        <v/>
      </c>
      <c r="AD30" s="186" t="n"/>
      <c r="AE30" s="82" t="n"/>
      <c r="AF30" s="82" t="n"/>
      <c r="AG30" s="186" t="n"/>
      <c r="AH30" s="186" t="n"/>
      <c r="AI30" s="198">
        <f>AH30</f>
        <v/>
      </c>
      <c r="AJ30" s="597">
        <f>AI30*1.05/100</f>
        <v/>
      </c>
      <c r="AK30" s="9" t="n"/>
      <c r="AL30" s="9" t="n"/>
      <c r="AM30" s="10" t="n"/>
      <c r="AP30" s="202">
        <f>AP29+10</f>
        <v/>
      </c>
      <c r="AQ30" s="367" t="n"/>
      <c r="AR30" s="568" t="n"/>
      <c r="AS30" s="308" t="n"/>
      <c r="AT30" s="309" t="n"/>
      <c r="AU30" s="310" t="n"/>
      <c r="AV30" s="205" t="n"/>
      <c r="AW30" s="206">
        <f>AU30*AV30</f>
        <v/>
      </c>
      <c r="AX30" s="207" t="n">
        <v>0.1</v>
      </c>
    </row>
    <row r="31" ht="13.5" customHeight="1" s="562">
      <c r="B31" s="291" t="inlineStr">
        <is>
          <t>Jet cooling</t>
        </is>
      </c>
      <c r="C31" s="268" t="n"/>
      <c r="D31" s="268" t="n"/>
      <c r="E31" s="292" t="n">
        <v>10</v>
      </c>
      <c r="F31" s="20" t="inlineStr">
        <is>
          <t>Porosity Testing cost / part</t>
        </is>
      </c>
      <c r="G31" s="299" t="n"/>
      <c r="I31" s="603" t="n"/>
      <c r="J31" s="251" t="inlineStr">
        <is>
          <t>Hydraulic Power Pack</t>
        </is>
      </c>
      <c r="K31" s="252" t="n"/>
      <c r="L31" s="595" t="n"/>
      <c r="M31" s="284" t="n">
        <v>5</v>
      </c>
      <c r="N31" s="237">
        <f>M31*V5</f>
        <v/>
      </c>
      <c r="O31" s="238" t="n">
        <v>10</v>
      </c>
      <c r="P31" s="603" t="n"/>
      <c r="Q31" s="251" t="inlineStr">
        <is>
          <t>Casting &amp; Sand collection Trolley</t>
        </is>
      </c>
      <c r="R31" s="589" t="n"/>
      <c r="S31" s="252" t="n">
        <v>0.3</v>
      </c>
      <c r="T31" s="6" t="n">
        <v>33</v>
      </c>
      <c r="U31" s="313" t="inlineStr">
        <is>
          <t>Floor space required for assembly station (Sq.m/ cell)</t>
        </is>
      </c>
      <c r="V31" s="314" t="n"/>
      <c r="W31" s="314" t="n"/>
      <c r="X31" s="296" t="n"/>
      <c r="Y31" s="315" t="n"/>
      <c r="Z31" s="182" t="n"/>
      <c r="AB31" s="186" t="n"/>
      <c r="AC31" s="186" t="n"/>
      <c r="AD31" s="186" t="n"/>
      <c r="AE31" s="186" t="n"/>
      <c r="AF31" s="186" t="n"/>
      <c r="AG31" s="186" t="n"/>
      <c r="AH31" s="186" t="n"/>
      <c r="AI31" s="198" t="n"/>
      <c r="AJ31" s="9" t="n"/>
      <c r="AK31" s="9" t="n"/>
      <c r="AL31" s="9" t="n"/>
      <c r="AM31" s="10" t="n"/>
      <c r="AP31" s="202">
        <f>AP30+10</f>
        <v/>
      </c>
      <c r="AQ31" s="367" t="n"/>
      <c r="AR31" s="568" t="n"/>
      <c r="AS31" s="308" t="n"/>
      <c r="AT31" s="309" t="n"/>
      <c r="AU31" s="310" t="n"/>
      <c r="AV31" s="205" t="n"/>
      <c r="AW31" s="206">
        <f>AU31*AV31</f>
        <v/>
      </c>
      <c r="AX31" s="207" t="n">
        <v>0.1</v>
      </c>
    </row>
    <row r="32" ht="13.5" customHeight="1" s="562">
      <c r="B32" s="291" t="inlineStr">
        <is>
          <t>Pump cooling</t>
        </is>
      </c>
      <c r="C32" s="595" t="n"/>
      <c r="D32" s="268" t="n"/>
      <c r="E32" s="292" t="n">
        <v>10</v>
      </c>
      <c r="F32" s="20" t="inlineStr">
        <is>
          <t>Microstructure Testing cost / part</t>
        </is>
      </c>
      <c r="G32" s="299" t="n"/>
      <c r="I32" s="606" t="n"/>
      <c r="J32" s="281" t="inlineStr">
        <is>
          <t>Holding furnace</t>
        </is>
      </c>
      <c r="K32" s="284" t="n">
        <v>6.5</v>
      </c>
      <c r="L32" s="283" t="n">
        <v>2</v>
      </c>
      <c r="M32" s="284" t="n">
        <v>14</v>
      </c>
      <c r="N32" s="237">
        <f>M32*L32*V5</f>
        <v/>
      </c>
      <c r="O32" s="238" t="n">
        <v>10</v>
      </c>
      <c r="P32" s="606" t="n"/>
      <c r="Q32" s="281" t="inlineStr">
        <is>
          <t>Furnace Dross, Rejection trolley &amp; Ladle set</t>
        </is>
      </c>
      <c r="R32" s="608" t="n"/>
      <c r="S32" s="252" t="n">
        <v>0.5</v>
      </c>
      <c r="T32" s="6" t="n">
        <v>33</v>
      </c>
      <c r="U32" s="316" t="n"/>
      <c r="V32" s="317" t="n"/>
      <c r="W32" s="318" t="n"/>
      <c r="X32" s="318" t="n"/>
      <c r="Y32" s="319" t="n"/>
      <c r="Z32" s="182" t="n"/>
      <c r="AB32" s="186" t="n"/>
      <c r="AC32" s="186" t="n"/>
      <c r="AD32" s="186" t="n"/>
      <c r="AE32" s="186" t="n"/>
      <c r="AF32" s="186" t="n"/>
      <c r="AG32" s="186" t="n"/>
      <c r="AH32" s="186" t="n"/>
      <c r="AI32" s="198" t="n"/>
      <c r="AJ32" s="9" t="n"/>
      <c r="AK32" s="9" t="n"/>
      <c r="AL32" s="9" t="n"/>
      <c r="AM32" s="10" t="n"/>
      <c r="AP32" s="202">
        <f>AP31+10</f>
        <v/>
      </c>
      <c r="AQ32" s="367" t="n"/>
      <c r="AR32" s="568" t="n"/>
      <c r="AS32" s="308" t="n"/>
      <c r="AT32" s="309" t="n"/>
      <c r="AU32" s="310" t="n"/>
      <c r="AV32" s="205" t="n"/>
      <c r="AW32" s="206">
        <f>AU32*AV32</f>
        <v/>
      </c>
      <c r="AX32" s="207" t="n">
        <v>0.1</v>
      </c>
    </row>
    <row r="33" ht="15" customHeight="1" s="562">
      <c r="B33" s="291" t="inlineStr">
        <is>
          <t>Bend removal press / fixture / tool</t>
        </is>
      </c>
      <c r="C33" s="268" t="n"/>
      <c r="D33" s="320" t="n"/>
      <c r="E33" s="292" t="n">
        <v>20</v>
      </c>
      <c r="F33" s="20" t="inlineStr">
        <is>
          <t>Hardness Testing cost / part</t>
        </is>
      </c>
      <c r="G33" s="299" t="n"/>
      <c r="I33" s="601" t="inlineStr">
        <is>
          <t>Post casting</t>
        </is>
      </c>
      <c r="J33" s="233" t="inlineStr">
        <is>
          <t>Band saw machine</t>
        </is>
      </c>
      <c r="K33" s="234" t="n">
        <v>0.1</v>
      </c>
      <c r="L33" s="321" t="n"/>
      <c r="M33" s="236" t="n"/>
      <c r="N33" s="322">
        <f>M33</f>
        <v/>
      </c>
      <c r="O33" s="238" t="n">
        <v>10</v>
      </c>
      <c r="P33" s="601" t="inlineStr">
        <is>
          <t>Post Casting</t>
        </is>
      </c>
      <c r="Q33" s="233" t="inlineStr">
        <is>
          <t>Cutting Fixture (Circular/ Riser/ Band)</t>
        </is>
      </c>
      <c r="R33" s="586" t="n"/>
      <c r="S33" s="323" t="n">
        <v>0.8</v>
      </c>
      <c r="T33" s="6" t="n">
        <v>33</v>
      </c>
      <c r="U33" s="324" t="inlineStr">
        <is>
          <t>Is after assembly machining involved? (Yes / No)</t>
        </is>
      </c>
      <c r="V33" s="325" t="n"/>
      <c r="W33" s="326" t="n"/>
      <c r="X33" s="327" t="n"/>
      <c r="Y33" s="328" t="n"/>
      <c r="Z33" s="182" t="n"/>
      <c r="AB33" s="202" t="n"/>
      <c r="AC33" s="367" t="inlineStr">
        <is>
          <t>Instllation &amp; Commissioning</t>
        </is>
      </c>
      <c r="AD33" s="568" t="n"/>
      <c r="AE33" s="367" t="n"/>
      <c r="AF33" s="568" t="n"/>
      <c r="AG33" s="367" t="n"/>
      <c r="AH33" s="568" t="n"/>
      <c r="AI33" s="206">
        <f>SUM(AI18:AI29)*5%</f>
        <v/>
      </c>
      <c r="AJ33" s="329" t="n"/>
      <c r="AK33" s="9" t="n"/>
      <c r="AL33" s="9" t="n"/>
      <c r="AM33" s="10" t="n"/>
      <c r="AP33" s="202">
        <f>AP32+10</f>
        <v/>
      </c>
      <c r="AQ33" s="367" t="n"/>
      <c r="AR33" s="568" t="n"/>
      <c r="AS33" s="308" t="n"/>
      <c r="AT33" s="309" t="n"/>
      <c r="AU33" s="310" t="n"/>
      <c r="AV33" s="205" t="n"/>
      <c r="AW33" s="206">
        <f>AU33*AV33</f>
        <v/>
      </c>
      <c r="AX33" s="207" t="n">
        <v>0.1</v>
      </c>
    </row>
    <row r="34" ht="12.75" customHeight="1" s="562">
      <c r="B34" s="330" t="inlineStr">
        <is>
          <t>Profile Cutting/ Trimming  Press / tool</t>
        </is>
      </c>
      <c r="C34" s="268" t="n"/>
      <c r="D34" s="331" t="n"/>
      <c r="E34" s="332" t="n">
        <v>20</v>
      </c>
      <c r="F34" s="20" t="inlineStr">
        <is>
          <t>Tensile Testing cost / part</t>
        </is>
      </c>
      <c r="G34" s="299" t="n"/>
      <c r="I34" s="603" t="n"/>
      <c r="J34" s="251" t="inlineStr">
        <is>
          <t>Circular saw cutting machine</t>
        </is>
      </c>
      <c r="K34" s="234" t="n">
        <v>25</v>
      </c>
      <c r="L34" s="333" t="n">
        <v>1</v>
      </c>
      <c r="M34" s="252" t="n">
        <v>60</v>
      </c>
      <c r="N34" s="322">
        <f>(M34)*V5</f>
        <v/>
      </c>
      <c r="O34" s="238" t="n">
        <v>10</v>
      </c>
      <c r="P34" s="603" t="n"/>
      <c r="Q34" s="251" t="inlineStr">
        <is>
          <t>Riser Collection Trolley</t>
        </is>
      </c>
      <c r="R34" s="589" t="n"/>
      <c r="S34" s="323" t="n">
        <v>1.5</v>
      </c>
      <c r="T34" s="6" t="n">
        <v>33</v>
      </c>
      <c r="U34" s="334" t="inlineStr">
        <is>
          <t>After Assy Machining Cost details: (Rs.)</t>
        </is>
      </c>
      <c r="V34" s="335" t="n"/>
      <c r="W34" s="169" t="n"/>
      <c r="X34" s="568" t="n"/>
      <c r="Y34" s="336" t="inlineStr">
        <is>
          <t>Cycle Time (min)</t>
        </is>
      </c>
      <c r="Z34" s="182" t="n"/>
      <c r="AB34" s="202" t="n"/>
      <c r="AC34" s="367" t="n"/>
      <c r="AD34" s="568" t="n"/>
      <c r="AE34" s="308" t="n"/>
      <c r="AF34" s="309" t="n"/>
      <c r="AG34" s="310" t="n"/>
      <c r="AH34" s="205" t="n"/>
      <c r="AI34" s="206" t="n"/>
      <c r="AJ34" s="9" t="n"/>
      <c r="AK34" s="9" t="n"/>
      <c r="AL34" s="9" t="n"/>
      <c r="AM34" s="10" t="n"/>
      <c r="AP34" s="202">
        <f>AP33+10</f>
        <v/>
      </c>
      <c r="AQ34" s="367" t="n"/>
      <c r="AR34" s="568" t="n"/>
      <c r="AS34" s="308" t="n"/>
      <c r="AT34" s="309" t="n"/>
      <c r="AU34" s="337" t="n"/>
      <c r="AV34" s="338" t="n"/>
      <c r="AW34" s="206">
        <f>AU34*AV34</f>
        <v/>
      </c>
      <c r="AX34" s="339" t="n">
        <v>0.1</v>
      </c>
    </row>
    <row r="35" ht="25.5" customHeight="1" s="562">
      <c r="B35" s="291" t="inlineStr">
        <is>
          <t>DM Water cost for Dycoat &amp; Cooling Tower the the extent of utilisation</t>
        </is>
      </c>
      <c r="C35" s="25" t="n"/>
      <c r="D35" s="25" t="n"/>
      <c r="E35" s="332" t="n">
        <v>100</v>
      </c>
      <c r="F35" s="20" t="inlineStr">
        <is>
          <t>3D Inspection cost / part</t>
        </is>
      </c>
      <c r="G35" s="340" t="n"/>
      <c r="I35" s="603" t="n"/>
      <c r="J35" s="251" t="inlineStr">
        <is>
          <t>Knock out press</t>
        </is>
      </c>
      <c r="K35" s="262" t="n">
        <v>0.8</v>
      </c>
      <c r="L35" s="333" t="n">
        <v>1</v>
      </c>
      <c r="M35" s="252" t="n">
        <v>3.5</v>
      </c>
      <c r="N35" s="322">
        <f>M35*V5</f>
        <v/>
      </c>
      <c r="O35" s="238" t="n">
        <v>10</v>
      </c>
      <c r="P35" s="603" t="n"/>
      <c r="Q35" s="251" t="inlineStr">
        <is>
          <t>Fettling table with Indexing Head</t>
        </is>
      </c>
      <c r="R35" s="589" t="n"/>
      <c r="S35" s="323" t="n">
        <v>0.3</v>
      </c>
      <c r="T35" s="6" t="n">
        <v>33</v>
      </c>
      <c r="U35" s="341" t="inlineStr">
        <is>
          <t>VMC /lathe cost</t>
        </is>
      </c>
      <c r="V35" s="46" t="n"/>
      <c r="W35" s="341" t="n"/>
      <c r="X35" s="342" t="n"/>
      <c r="Y35" s="343" t="n"/>
      <c r="Z35" s="182" t="n">
        <v>10</v>
      </c>
      <c r="AB35" s="202" t="n"/>
      <c r="AC35" s="367" t="n"/>
      <c r="AD35" s="568" t="n"/>
      <c r="AE35" s="367" t="n"/>
      <c r="AF35" s="568" t="n"/>
      <c r="AG35" s="367" t="n"/>
      <c r="AH35" s="568" t="n"/>
      <c r="AI35" s="206" t="n"/>
      <c r="AJ35" s="9" t="n"/>
      <c r="AK35" s="9" t="n"/>
      <c r="AL35" s="9" t="n"/>
      <c r="AM35" s="10" t="n"/>
      <c r="AP35" s="202">
        <f>AP34+10</f>
        <v/>
      </c>
      <c r="AQ35" s="367" t="inlineStr">
        <is>
          <t>ROBOT / AUTOMATION</t>
        </is>
      </c>
      <c r="AR35" s="568" t="n"/>
      <c r="AS35" s="308" t="n"/>
      <c r="AT35" s="309" t="n"/>
      <c r="AU35" s="337" t="n"/>
      <c r="AV35" s="338" t="n"/>
      <c r="AW35" s="206">
        <f>AT35*AU35*AV35</f>
        <v/>
      </c>
      <c r="AX35" s="339" t="n">
        <v>0.2</v>
      </c>
    </row>
    <row r="36" ht="25.5" customHeight="1" s="562">
      <c r="B36" s="344" t="inlineStr">
        <is>
          <t>Spl process machine</t>
        </is>
      </c>
      <c r="C36" s="268" t="n"/>
      <c r="D36" s="25" t="n"/>
      <c r="E36" s="345" t="n">
        <v>10</v>
      </c>
      <c r="F36" s="152" t="inlineStr">
        <is>
          <t>Others (if any)</t>
        </is>
      </c>
      <c r="G36" s="299" t="n"/>
      <c r="I36" s="603" t="n"/>
      <c r="J36" s="251" t="inlineStr">
        <is>
          <t>Linishing Machine with Dust Extractor</t>
        </is>
      </c>
      <c r="K36" s="234" t="n">
        <v>25</v>
      </c>
      <c r="L36" s="333" t="n">
        <v>1</v>
      </c>
      <c r="M36" s="252" t="n">
        <v>2.2</v>
      </c>
      <c r="N36" s="322">
        <f>(M36)*V5</f>
        <v/>
      </c>
      <c r="O36" s="238" t="n">
        <v>10</v>
      </c>
      <c r="P36" s="603" t="n"/>
      <c r="Q36" s="251" t="inlineStr">
        <is>
          <t>Indexing Fixture</t>
        </is>
      </c>
      <c r="R36" s="589" t="n"/>
      <c r="S36" s="323" t="n">
        <v>0.3</v>
      </c>
      <c r="T36" s="6" t="n">
        <v>33</v>
      </c>
      <c r="U36" s="178" t="inlineStr">
        <is>
          <t>AFM</t>
        </is>
      </c>
      <c r="V36" s="179" t="n"/>
      <c r="W36" s="342" t="n"/>
      <c r="X36" s="342" t="n"/>
      <c r="Y36" s="343" t="n"/>
      <c r="Z36" s="182" t="n">
        <v>10</v>
      </c>
      <c r="AB36" s="186" t="n"/>
      <c r="AC36" s="609" t="inlineStr">
        <is>
          <t>MATERIAL HANDLING IN MACHINE SHOP</t>
        </is>
      </c>
      <c r="AD36" s="568" t="n"/>
      <c r="AE36" s="347" t="n"/>
      <c r="AF36" s="348" t="n"/>
      <c r="AG36" s="349" t="n"/>
      <c r="AH36" s="88" t="n"/>
      <c r="AI36" s="198">
        <f>(AF36*AH36*AG36)*$V$5</f>
        <v/>
      </c>
      <c r="AJ36" s="350" t="n"/>
      <c r="AK36" s="350" t="n"/>
      <c r="AL36" s="9" t="n"/>
      <c r="AM36" s="10" t="n"/>
      <c r="AP36" s="202" t="n"/>
      <c r="AQ36" s="304" t="inlineStr">
        <is>
          <t>MATERIAL HANDLING IN MACHINE SHOP</t>
        </is>
      </c>
      <c r="AR36" s="568" t="n"/>
      <c r="AS36" s="352" t="n"/>
      <c r="AT36" s="353" t="n"/>
      <c r="AU36" s="337" t="n"/>
      <c r="AV36" s="338" t="n"/>
      <c r="AW36" s="206">
        <f>AT36*AU36*AV36</f>
        <v/>
      </c>
      <c r="AX36" s="339" t="n">
        <v>0.1</v>
      </c>
    </row>
    <row r="37" ht="15" customHeight="1" s="562">
      <c r="B37" s="354" t="inlineStr">
        <is>
          <t>Buffing Machine</t>
        </is>
      </c>
      <c r="C37" s="25" t="n"/>
      <c r="D37" s="25" t="n"/>
      <c r="E37" s="355" t="n">
        <v>33</v>
      </c>
      <c r="F37" s="356" t="inlineStr">
        <is>
          <t>Total Testing cost / part</t>
        </is>
      </c>
      <c r="G37" s="357">
        <f>SUM(G29:G36)*W5</f>
        <v/>
      </c>
      <c r="I37" s="603" t="n"/>
      <c r="J37" s="251" t="inlineStr">
        <is>
          <t>Shift code punching Machine</t>
        </is>
      </c>
      <c r="K37" s="252" t="n">
        <v>17.2</v>
      </c>
      <c r="L37" s="333" t="n">
        <v>1</v>
      </c>
      <c r="M37" s="252" t="n">
        <v>3</v>
      </c>
      <c r="N37" s="322">
        <f>(M37)*V5</f>
        <v/>
      </c>
      <c r="O37" s="238" t="n">
        <v>10</v>
      </c>
      <c r="P37" s="603" t="n"/>
      <c r="Q37" s="251" t="inlineStr">
        <is>
          <t>Fettling Table</t>
        </is>
      </c>
      <c r="R37" s="589" t="n"/>
      <c r="S37" s="323" t="n">
        <v>0.3</v>
      </c>
      <c r="T37" s="6" t="n">
        <v>33</v>
      </c>
      <c r="U37" s="178" t="inlineStr">
        <is>
          <t>Special Purpose Machine</t>
        </is>
      </c>
      <c r="V37" s="179" t="n"/>
      <c r="W37" s="342" t="n"/>
      <c r="X37" s="342" t="n"/>
      <c r="Y37" s="297" t="n"/>
      <c r="Z37" s="182" t="n">
        <v>10</v>
      </c>
      <c r="AB37" s="202" t="n"/>
      <c r="AC37" s="46" t="n"/>
      <c r="AD37" s="295" t="n"/>
      <c r="AE37" s="358" t="n"/>
      <c r="AF37" s="295" t="n"/>
      <c r="AG37" s="46" t="n"/>
      <c r="AH37" s="358" t="n"/>
      <c r="AI37" s="359" t="n"/>
      <c r="AJ37" s="46" t="n"/>
      <c r="AK37" s="46" t="n"/>
      <c r="AL37" s="9" t="n"/>
      <c r="AM37" s="10" t="n"/>
      <c r="AP37" s="360" t="n"/>
      <c r="AQ37" s="9" t="n"/>
      <c r="AR37" s="361" t="n"/>
      <c r="AS37" s="362" t="n"/>
      <c r="AT37" s="361" t="n"/>
      <c r="AU37" s="363" t="n"/>
      <c r="AV37" s="362" t="n"/>
      <c r="AW37" s="364" t="n"/>
      <c r="AX37" s="55" t="n"/>
    </row>
    <row r="38" ht="19.5" customHeight="1" s="562">
      <c r="B38" s="344" t="inlineStr">
        <is>
          <t>Material handling cost (Trolley type)</t>
        </is>
      </c>
      <c r="C38" s="25" t="n"/>
      <c r="D38" s="25" t="n"/>
      <c r="E38" s="292" t="n">
        <v>33</v>
      </c>
      <c r="F38" s="365" t="inlineStr">
        <is>
          <t>POWER DETAILS (kw/hr)</t>
        </is>
      </c>
      <c r="G38" s="366" t="n"/>
      <c r="I38" s="603" t="n"/>
      <c r="J38" s="251" t="inlineStr">
        <is>
          <t xml:space="preserve">Welding Machine </t>
        </is>
      </c>
      <c r="K38" s="252" t="n"/>
      <c r="L38" s="333" t="n">
        <v>0</v>
      </c>
      <c r="M38" s="252" t="n">
        <v>0</v>
      </c>
      <c r="N38" s="322">
        <f>(M38)*V5</f>
        <v/>
      </c>
      <c r="O38" s="238" t="n">
        <v>10</v>
      </c>
      <c r="P38" s="603" t="n"/>
      <c r="Q38" s="251" t="inlineStr">
        <is>
          <t>Fettling Booth</t>
        </is>
      </c>
      <c r="R38" s="589" t="n"/>
      <c r="S38" s="323" t="n">
        <v>0.5</v>
      </c>
      <c r="T38" s="6" t="n">
        <v>33</v>
      </c>
      <c r="U38" s="178" t="inlineStr">
        <is>
          <t>Turning Centers</t>
        </is>
      </c>
      <c r="V38" s="179" t="n"/>
      <c r="W38" s="342" t="n"/>
      <c r="X38" s="342" t="n"/>
      <c r="Y38" s="297" t="n"/>
      <c r="Z38" s="182" t="n">
        <v>10</v>
      </c>
      <c r="AB38" s="46" t="n"/>
      <c r="AC38" s="367" t="n"/>
      <c r="AD38" s="368" t="inlineStr">
        <is>
          <t>Cell Cycle Time:</t>
        </is>
      </c>
      <c r="AE38" s="369" t="n"/>
      <c r="AF38" s="356" t="inlineStr">
        <is>
          <t>Total Capital Expenditure - Rs. In L</t>
        </is>
      </c>
      <c r="AG38" s="356" t="n"/>
      <c r="AH38" s="356" t="n"/>
      <c r="AI38" s="370">
        <f>SUM(AI18:AI36)</f>
        <v/>
      </c>
      <c r="AJ38" s="204" t="n"/>
      <c r="AK38" s="610" t="n"/>
      <c r="AL38" s="9" t="n"/>
      <c r="AM38" s="10" t="n"/>
      <c r="AP38" s="170" t="n"/>
      <c r="AQ38" s="372" t="n"/>
      <c r="AR38" s="373" t="inlineStr">
        <is>
          <t>Cell Cycle Time:</t>
        </is>
      </c>
      <c r="AS38" s="374">
        <f>MAX(AS18:AS37)</f>
        <v/>
      </c>
      <c r="AT38" s="375" t="inlineStr">
        <is>
          <t>Total Capital Expenditure Rs. In L</t>
        </is>
      </c>
      <c r="AU38" s="376" t="n"/>
      <c r="AV38" s="377" t="n"/>
      <c r="AW38" s="370">
        <f>SUM(AW18:AW36)</f>
        <v/>
      </c>
    </row>
    <row r="39" ht="15" customHeight="1" s="562">
      <c r="B39" s="354" t="inlineStr">
        <is>
          <t>Special Guaging</t>
        </is>
      </c>
      <c r="C39" s="268" t="n"/>
      <c r="D39" s="25" t="n"/>
      <c r="E39" s="378" t="n">
        <v>20</v>
      </c>
      <c r="F39" s="298" t="inlineStr">
        <is>
          <t xml:space="preserve">Casting cell </t>
        </is>
      </c>
      <c r="G39" s="379" t="n"/>
      <c r="I39" s="606" t="n"/>
      <c r="J39" s="380" t="inlineStr">
        <is>
          <t>Bend Removal Press</t>
        </is>
      </c>
      <c r="K39" s="284" t="n"/>
      <c r="L39" s="321" t="n"/>
      <c r="M39" s="236" t="n"/>
      <c r="N39" s="322">
        <f>L39*M39</f>
        <v/>
      </c>
      <c r="O39" s="238" t="n">
        <v>10</v>
      </c>
      <c r="P39" s="603" t="n"/>
      <c r="Q39" s="251" t="inlineStr">
        <is>
          <t>Cell Formation Cost</t>
        </is>
      </c>
      <c r="R39" s="589" t="n"/>
      <c r="S39" s="323" t="n"/>
      <c r="T39" s="6" t="n">
        <v>33</v>
      </c>
      <c r="U39" s="178" t="inlineStr">
        <is>
          <t>Washing Machine</t>
        </is>
      </c>
      <c r="V39" s="179" t="n"/>
      <c r="W39" s="342" t="n"/>
      <c r="X39" s="342" t="n"/>
      <c r="Y39" s="297" t="n"/>
      <c r="Z39" s="182" t="n">
        <v>10</v>
      </c>
      <c r="AB39" s="381" t="n"/>
      <c r="AC39" s="382" t="n"/>
      <c r="AD39" s="382" t="n"/>
      <c r="AE39" s="382" t="n"/>
      <c r="AF39" s="382" t="n"/>
      <c r="AG39" s="382" t="n"/>
      <c r="AH39" s="382" t="n"/>
      <c r="AI39" s="611" t="n"/>
      <c r="AJ39" s="597" t="n"/>
      <c r="AK39" s="9" t="n"/>
      <c r="AL39" s="9" t="n"/>
      <c r="AM39" s="10" t="n"/>
      <c r="AP39" s="79" t="n"/>
      <c r="AQ39" s="384" t="n"/>
      <c r="AR39" s="385" t="n"/>
      <c r="AS39" s="385" t="n"/>
      <c r="AT39" s="385" t="n"/>
      <c r="AU39" s="385" t="n"/>
      <c r="AV39" s="385" t="n"/>
      <c r="AW39" s="386" t="n"/>
    </row>
    <row r="40" ht="25.5" customHeight="1" s="562">
      <c r="B40" s="344" t="inlineStr">
        <is>
          <t>Die setting cost</t>
        </is>
      </c>
      <c r="C40" s="268" t="n"/>
      <c r="D40" s="268" t="n"/>
      <c r="E40" s="378" t="n">
        <v>10</v>
      </c>
      <c r="F40" s="20" t="inlineStr">
        <is>
          <t>Melting furnace (including scrubber)</t>
        </is>
      </c>
      <c r="G40" s="379" t="n"/>
      <c r="I40" s="601" t="inlineStr">
        <is>
          <t>Automation</t>
        </is>
      </c>
      <c r="J40" s="233" t="inlineStr">
        <is>
          <t>Robot cell (Pouring robot, Quenching, Cutting m/c, cell forming)</t>
        </is>
      </c>
      <c r="K40" s="236" t="n"/>
      <c r="L40" s="321" t="n">
        <v>0</v>
      </c>
      <c r="M40" s="236" t="n">
        <v>0</v>
      </c>
      <c r="N40" s="387">
        <f>M40*V5</f>
        <v/>
      </c>
      <c r="O40" s="238" t="n">
        <v>20</v>
      </c>
      <c r="P40" s="603" t="n"/>
      <c r="Q40" s="251" t="inlineStr">
        <is>
          <t>Filing &amp; Grinding Tools</t>
        </is>
      </c>
      <c r="R40" s="589" t="n"/>
      <c r="S40" s="323" t="n">
        <v>0.5</v>
      </c>
      <c r="T40" s="6" t="n">
        <v>33</v>
      </c>
      <c r="U40" s="178" t="inlineStr">
        <is>
          <t>Leak Testing Machine</t>
        </is>
      </c>
      <c r="V40" s="179" t="n"/>
      <c r="W40" s="342" t="n"/>
      <c r="X40" s="342" t="n"/>
      <c r="Y40" s="297" t="n"/>
      <c r="Z40" s="182" t="n">
        <v>10</v>
      </c>
      <c r="AB40" s="388" t="n"/>
      <c r="AC40" s="389" t="n"/>
      <c r="AD40" s="390" t="n"/>
      <c r="AE40" s="390" t="n"/>
      <c r="AF40" s="390" t="n"/>
      <c r="AG40" s="391" t="n"/>
      <c r="AH40" s="390" t="n"/>
      <c r="AI40" s="612" t="n"/>
      <c r="AJ40" s="9" t="n"/>
      <c r="AK40" s="9" t="n"/>
      <c r="AL40" s="9" t="n"/>
      <c r="AM40" s="10" t="n"/>
      <c r="AP40" s="388" t="n"/>
      <c r="AQ40" s="389" t="n"/>
      <c r="AR40" s="390" t="n"/>
      <c r="AS40" s="390" t="n"/>
      <c r="AT40" s="390" t="n"/>
      <c r="AU40" s="391" t="n"/>
      <c r="AV40" s="390" t="n"/>
      <c r="AW40" s="393" t="n"/>
    </row>
    <row r="41" ht="14.25" customHeight="1" s="562">
      <c r="B41" s="354" t="inlineStr">
        <is>
          <t>Cap to avoid Damage-003</t>
        </is>
      </c>
      <c r="C41" s="268" t="n"/>
      <c r="D41" s="268" t="n"/>
      <c r="E41" s="378" t="n">
        <v>10</v>
      </c>
      <c r="F41" s="152" t="inlineStr">
        <is>
          <t>X ray Power rating</t>
        </is>
      </c>
      <c r="G41" s="394" t="n"/>
      <c r="I41" s="603" t="n"/>
      <c r="J41" s="251" t="inlineStr">
        <is>
          <t>Endoscope machine</t>
        </is>
      </c>
      <c r="K41" s="252" t="n"/>
      <c r="L41" s="333" t="n">
        <v>1</v>
      </c>
      <c r="M41" s="252" t="n">
        <v>8</v>
      </c>
      <c r="N41" s="387">
        <f>(M41)</f>
        <v/>
      </c>
      <c r="O41" s="238" t="n">
        <v>20</v>
      </c>
      <c r="P41" s="603" t="n"/>
      <c r="Q41" s="251" t="inlineStr">
        <is>
          <t>Final Inspection Table (Post cast+ HT)</t>
        </is>
      </c>
      <c r="R41" s="589" t="n"/>
      <c r="S41" s="323" t="n">
        <v>0.3</v>
      </c>
      <c r="T41" s="6" t="n">
        <v>33</v>
      </c>
      <c r="U41" s="178" t="inlineStr">
        <is>
          <t>Deburring Unit / Air cleaning / Final Inspection</t>
        </is>
      </c>
      <c r="V41" s="179" t="n"/>
      <c r="W41" s="342" t="n"/>
      <c r="X41" s="342" t="n"/>
      <c r="Y41" s="297" t="n"/>
      <c r="Z41" s="182" t="n">
        <v>10</v>
      </c>
      <c r="AB41" s="395" t="inlineStr">
        <is>
          <t>Operating cost for the given Volume:</t>
        </is>
      </c>
      <c r="AC41" s="9" t="n"/>
      <c r="AD41" s="396" t="inlineStr">
        <is>
          <t>Rs. In L</t>
        </is>
      </c>
      <c r="AE41" s="397" t="n"/>
      <c r="AF41" s="9" t="n"/>
      <c r="AG41" s="9" t="n"/>
      <c r="AH41" s="9" t="n"/>
      <c r="AI41" s="398" t="n"/>
      <c r="AJ41" s="9" t="n"/>
      <c r="AK41" s="9" t="n"/>
      <c r="AL41" s="9" t="n"/>
      <c r="AM41" s="10" t="n"/>
      <c r="AP41" s="395" t="inlineStr">
        <is>
          <t>Operating cost for the given Volume:</t>
        </is>
      </c>
      <c r="AQ41" s="9" t="n"/>
      <c r="AR41" s="399" t="inlineStr">
        <is>
          <t>Rs. In L</t>
        </is>
      </c>
      <c r="AS41" s="397" t="n"/>
      <c r="AT41" s="9" t="n"/>
      <c r="AU41" s="9" t="n"/>
      <c r="AV41" s="9" t="n"/>
      <c r="AW41" s="398" t="n"/>
    </row>
    <row r="42" ht="13.5" customHeight="1" s="562">
      <c r="B42" s="354" t="inlineStr">
        <is>
          <t>Part sensor</t>
        </is>
      </c>
      <c r="C42" s="268" t="n"/>
      <c r="D42" s="268" t="n"/>
      <c r="E42" s="378" t="n">
        <v>10</v>
      </c>
      <c r="F42" s="613" t="inlineStr">
        <is>
          <t>OTHER INFORMATIONS</t>
        </is>
      </c>
      <c r="G42" s="583" t="n"/>
      <c r="I42" s="603" t="n"/>
      <c r="J42" s="251" t="inlineStr">
        <is>
          <t>special core handling and trsting</t>
        </is>
      </c>
      <c r="K42" s="252" t="n"/>
      <c r="L42" s="333" t="n"/>
      <c r="M42" s="401" t="n"/>
      <c r="N42" s="402">
        <f>M42*L42</f>
        <v/>
      </c>
      <c r="O42" s="238" t="n">
        <v>10</v>
      </c>
      <c r="P42" s="603" t="n"/>
      <c r="Q42" s="251" t="inlineStr">
        <is>
          <t>Storage Pallets</t>
        </is>
      </c>
      <c r="R42" s="589" t="n"/>
      <c r="S42" s="323" t="n">
        <v>0.2</v>
      </c>
      <c r="T42" s="6" t="n">
        <v>33</v>
      </c>
      <c r="U42" s="178" t="inlineStr">
        <is>
          <t>BAR CODE LABLE WITH 2D SCANNER</t>
        </is>
      </c>
      <c r="V42" s="179" t="n"/>
      <c r="W42" s="342" t="n"/>
      <c r="X42" s="342" t="n"/>
      <c r="Y42" s="343" t="n"/>
      <c r="Z42" s="182" t="n">
        <v>10</v>
      </c>
      <c r="AB42" s="46" t="inlineStr">
        <is>
          <t>Cost of Cutting tools</t>
        </is>
      </c>
      <c r="AC42" s="403" t="n">
        <v>3.65</v>
      </c>
      <c r="AD42" s="404" t="n"/>
      <c r="AE42" s="405" t="n">
        <v>100</v>
      </c>
      <c r="AF42" s="46" t="inlineStr">
        <is>
          <t>Cell Cycle Time (Min.)</t>
        </is>
      </c>
      <c r="AG42" s="46" t="n"/>
      <c r="AH42" s="46" t="n"/>
      <c r="AI42" s="369" t="n"/>
      <c r="AJ42" s="9" t="n"/>
      <c r="AK42" s="9" t="n"/>
      <c r="AL42" s="9" t="n"/>
      <c r="AM42" s="10" t="n"/>
      <c r="AP42" s="46" t="inlineStr">
        <is>
          <t>Cost of Cutting tools</t>
        </is>
      </c>
      <c r="AQ42" s="46" t="n"/>
      <c r="AR42" s="404" t="n">
        <v>363000</v>
      </c>
      <c r="AS42" s="405" t="n">
        <v>100</v>
      </c>
      <c r="AT42" s="46" t="n">
        <v>7</v>
      </c>
      <c r="AU42" s="46" t="n"/>
      <c r="AV42" s="46" t="n"/>
      <c r="AW42" s="406" t="n">
        <v>0</v>
      </c>
    </row>
    <row r="43" ht="12.75" customHeight="1" s="562">
      <c r="B43" s="354" t="inlineStr">
        <is>
          <t>Special Purpose</t>
        </is>
      </c>
      <c r="C43" s="277" t="n"/>
      <c r="D43" s="268" t="n"/>
      <c r="E43" s="378" t="n">
        <v>10</v>
      </c>
      <c r="F43" s="233" t="inlineStr">
        <is>
          <t xml:space="preserve">Manpower reqt/ shift/ cell </t>
        </is>
      </c>
      <c r="G43" s="379" t="n"/>
      <c r="I43" s="603" t="n"/>
      <c r="J43" s="251" t="inlineStr">
        <is>
          <t>Component Extractor or Catcher</t>
        </is>
      </c>
      <c r="K43" s="252" t="n"/>
      <c r="L43" s="283" t="n">
        <v>1</v>
      </c>
      <c r="M43" s="252" t="n">
        <v>0</v>
      </c>
      <c r="N43" s="402">
        <f>M43*V5</f>
        <v/>
      </c>
      <c r="O43" s="238" t="n">
        <v>10</v>
      </c>
      <c r="P43" s="603" t="n"/>
      <c r="Q43" s="251" t="inlineStr">
        <is>
          <t>Gauges</t>
        </is>
      </c>
      <c r="R43" s="589" t="n"/>
      <c r="S43" s="323" t="n">
        <v>0.5</v>
      </c>
      <c r="T43" s="6" t="n">
        <v>20</v>
      </c>
      <c r="U43" s="178" t="inlineStr">
        <is>
          <t>Consumable tools cost,TH</t>
        </is>
      </c>
      <c r="V43" s="179" t="n"/>
      <c r="W43" s="342" t="n"/>
      <c r="X43" s="342" t="n"/>
      <c r="Y43" s="343" t="n"/>
      <c r="Z43" s="182" t="n">
        <v>100</v>
      </c>
      <c r="AB43" s="46" t="inlineStr">
        <is>
          <t>Cost of Tool Holders &amp; Probing</t>
        </is>
      </c>
      <c r="AC43" s="403" t="n">
        <v>22</v>
      </c>
      <c r="AD43" s="404" t="n"/>
      <c r="AE43" s="405" t="n">
        <v>33</v>
      </c>
      <c r="AF43" s="46" t="inlineStr">
        <is>
          <t>Cell Capacity (Nos.)</t>
        </is>
      </c>
      <c r="AG43" s="46" t="n"/>
      <c r="AH43" s="46" t="n"/>
      <c r="AI43" s="408" t="n"/>
      <c r="AJ43" s="9" t="n"/>
      <c r="AK43" s="9" t="n"/>
      <c r="AL43" s="9" t="n"/>
      <c r="AM43" s="10" t="n"/>
      <c r="AP43" s="46" t="inlineStr">
        <is>
          <t>Cost of Tool Holders</t>
        </is>
      </c>
      <c r="AQ43" s="46" t="n"/>
      <c r="AR43" s="404" t="n">
        <v>2200000</v>
      </c>
      <c r="AS43" s="405" t="n">
        <v>33</v>
      </c>
      <c r="AT43" s="46" t="n">
        <v>43682</v>
      </c>
      <c r="AU43" s="46" t="n"/>
      <c r="AV43" s="46" t="n"/>
      <c r="AW43" s="409" t="n"/>
    </row>
    <row r="44" ht="14.25" customHeight="1" s="562">
      <c r="B44" s="354" t="inlineStr">
        <is>
          <t>Cutting Machine &amp; Fixtures</t>
        </is>
      </c>
      <c r="C44" s="410" t="n"/>
      <c r="D44" s="410" t="n"/>
      <c r="E44" s="378" t="n"/>
      <c r="F44" s="251" t="inlineStr">
        <is>
          <t>Floor space required for casting cell (Sq.m)</t>
        </is>
      </c>
      <c r="G44" s="379" t="n"/>
      <c r="I44" s="606" t="n"/>
      <c r="J44" s="380" t="inlineStr">
        <is>
          <t xml:space="preserve">Air Balancer </t>
        </is>
      </c>
      <c r="K44" s="284" t="n"/>
      <c r="L44" s="606" t="n"/>
      <c r="M44" s="284" t="n"/>
      <c r="N44" s="402">
        <f>M44</f>
        <v/>
      </c>
      <c r="O44" s="238" t="n">
        <v>10</v>
      </c>
      <c r="P44" s="603" t="n"/>
      <c r="Q44" s="251" t="inlineStr">
        <is>
          <t>DM Water for Dycoat</t>
        </is>
      </c>
      <c r="R44" s="589" t="n"/>
      <c r="S44" s="323" t="n">
        <v>0</v>
      </c>
      <c r="T44" s="6" t="n"/>
      <c r="U44" s="178" t="inlineStr">
        <is>
          <t>Fixture Cost</t>
        </is>
      </c>
      <c r="V44" s="179" t="n"/>
      <c r="W44" s="342" t="n"/>
      <c r="X44" s="342" t="n"/>
      <c r="Y44" s="343" t="n"/>
      <c r="Z44" s="182" t="n">
        <v>33</v>
      </c>
      <c r="AB44" s="46" t="inlineStr">
        <is>
          <t>Cap Die cost</t>
        </is>
      </c>
      <c r="AC44" s="411" t="n"/>
      <c r="AD44" s="404" t="n"/>
      <c r="AE44" s="405" t="n">
        <v>33</v>
      </c>
      <c r="AF44" s="46" t="inlineStr">
        <is>
          <t>Cell Utilisation</t>
        </is>
      </c>
      <c r="AG44" s="46" t="n"/>
      <c r="AH44" s="46" t="n"/>
      <c r="AI44" s="305" t="n"/>
      <c r="AJ44" s="9" t="n"/>
      <c r="AK44" s="9" t="n"/>
      <c r="AL44" s="9" t="n"/>
      <c r="AM44" s="10" t="n"/>
      <c r="AP44" s="46" t="inlineStr">
        <is>
          <t>Cost of Probing Unit (if any)</t>
        </is>
      </c>
      <c r="AQ44" s="46" t="n"/>
      <c r="AR44" s="404" t="n"/>
      <c r="AS44" s="405" t="n">
        <v>33</v>
      </c>
      <c r="AT44" s="46" t="n">
        <v>83</v>
      </c>
      <c r="AU44" s="46" t="n"/>
      <c r="AV44" s="46" t="n"/>
      <c r="AW44" s="412" t="n"/>
    </row>
    <row r="45" ht="15" customHeight="1" s="562">
      <c r="B45" s="413" t="inlineStr">
        <is>
          <t>Total investment/ cell (Rs. Lac)</t>
        </is>
      </c>
      <c r="C45" s="414">
        <f>SUM(C26:C44)</f>
        <v/>
      </c>
      <c r="D45" s="414">
        <f>SUM(D26:D44)</f>
        <v/>
      </c>
      <c r="E45" s="614" t="n"/>
      <c r="F45" s="20" t="n"/>
      <c r="G45" s="214" t="n"/>
      <c r="I45" s="601" t="inlineStr">
        <is>
          <t>Others</t>
        </is>
      </c>
      <c r="J45" s="233" t="inlineStr">
        <is>
          <t>Core Painting Oven (if any)</t>
        </is>
      </c>
      <c r="K45" s="236" t="n"/>
      <c r="L45" s="321" t="n">
        <v>0</v>
      </c>
      <c r="M45" s="236" t="n"/>
      <c r="N45" s="402">
        <f>(M45)*V5</f>
        <v/>
      </c>
      <c r="O45" s="238" t="n">
        <v>10</v>
      </c>
      <c r="P45" s="603" t="n"/>
      <c r="Q45" s="251" t="inlineStr">
        <is>
          <t>Shift code punching Fixture</t>
        </is>
      </c>
      <c r="R45" s="589" t="n"/>
      <c r="S45" s="323" t="n">
        <v>0.7</v>
      </c>
      <c r="T45" s="6" t="n">
        <v>20</v>
      </c>
      <c r="U45" s="178" t="inlineStr">
        <is>
          <t>Gauge cost</t>
        </is>
      </c>
      <c r="V45" s="179" t="n"/>
      <c r="W45" s="342" t="n"/>
      <c r="X45" s="342" t="n"/>
      <c r="Y45" s="343" t="n"/>
      <c r="Z45" s="182" t="n">
        <v>33</v>
      </c>
      <c r="AB45" s="46" t="inlineStr">
        <is>
          <t>Cost of Fixtures</t>
        </is>
      </c>
      <c r="AC45" s="411">
        <f>23+2</f>
        <v/>
      </c>
      <c r="AD45" s="404" t="n"/>
      <c r="AE45" s="416" t="inlineStr">
        <is>
          <t>Lumpsum</t>
        </is>
      </c>
      <c r="AF45" s="46" t="inlineStr">
        <is>
          <t>No. of Cells</t>
        </is>
      </c>
      <c r="AG45" s="46" t="n"/>
      <c r="AH45" s="46" t="n"/>
      <c r="AI45" s="417" t="n"/>
      <c r="AJ45" s="9" t="n"/>
      <c r="AK45" s="9" t="n"/>
      <c r="AL45" s="9" t="n"/>
      <c r="AM45" s="10" t="n"/>
      <c r="AP45" s="46" t="inlineStr">
        <is>
          <t>Cost of Fixtures</t>
        </is>
      </c>
      <c r="AQ45" s="46" t="n"/>
      <c r="AR45" s="404" t="n">
        <v>2300000</v>
      </c>
      <c r="AS45" s="416" t="inlineStr">
        <is>
          <t>Lumpsum</t>
        </is>
      </c>
      <c r="AT45" s="46" t="n">
        <v>1</v>
      </c>
      <c r="AU45" s="46" t="n"/>
      <c r="AV45" s="46" t="n"/>
      <c r="AW45" s="418" t="n"/>
    </row>
    <row r="46" ht="24.75" customHeight="1" s="562">
      <c r="B46" s="413" t="inlineStr">
        <is>
          <t>Total Investment for all cells (Rs. Lac)</t>
        </is>
      </c>
      <c r="C46" s="414">
        <f>C45</f>
        <v/>
      </c>
      <c r="D46" s="414">
        <f>D45</f>
        <v/>
      </c>
      <c r="E46" s="419" t="n"/>
      <c r="F46" s="251" t="inlineStr">
        <is>
          <t>Type of shot blasting (Hanger type / AlO2/ Tumbling/ Vibro finishing)</t>
        </is>
      </c>
      <c r="G46" s="214" t="n"/>
      <c r="I46" s="603" t="n"/>
      <c r="J46" s="251" t="inlineStr">
        <is>
          <t>Endoscope machine</t>
        </is>
      </c>
      <c r="K46" s="252" t="n"/>
      <c r="L46" s="333" t="n">
        <v>1</v>
      </c>
      <c r="M46" s="252" t="n">
        <v>8</v>
      </c>
      <c r="N46" s="402">
        <f>M46*V5</f>
        <v/>
      </c>
      <c r="O46" s="238" t="n">
        <v>10</v>
      </c>
      <c r="P46" s="603" t="n"/>
      <c r="Q46" s="251" t="inlineStr">
        <is>
          <t>Welding Booth</t>
        </is>
      </c>
      <c r="R46" s="589" t="n"/>
      <c r="S46" s="323" t="n">
        <v>0</v>
      </c>
      <c r="T46" s="6" t="n">
        <v>33</v>
      </c>
      <c r="U46" s="420" t="inlineStr">
        <is>
          <t>Total after assembly machining Investment</t>
        </is>
      </c>
      <c r="V46" s="377" t="n"/>
      <c r="W46" s="421">
        <f>SUM(W35:W45)</f>
        <v/>
      </c>
      <c r="X46" s="421">
        <f>SUM(X35:X45)*W5</f>
        <v/>
      </c>
      <c r="Y46" s="422" t="n"/>
      <c r="Z46" s="182" t="n"/>
      <c r="AB46" s="46" t="inlineStr">
        <is>
          <t>Cost of Gauges</t>
        </is>
      </c>
      <c r="AC46" s="411">
        <f>6.8</f>
        <v/>
      </c>
      <c r="AD46" s="404" t="n"/>
      <c r="AE46" s="416" t="inlineStr">
        <is>
          <t>Lumpsum</t>
        </is>
      </c>
      <c r="AF46" s="9" t="n"/>
      <c r="AG46" s="9" t="n"/>
      <c r="AH46" s="9" t="n"/>
      <c r="AI46" s="398" t="n"/>
      <c r="AJ46" s="9" t="n"/>
      <c r="AK46" s="9" t="n"/>
      <c r="AL46" s="9" t="n"/>
      <c r="AM46" s="10" t="n"/>
      <c r="AP46" s="46" t="inlineStr">
        <is>
          <t>Cost of Gauges</t>
        </is>
      </c>
      <c r="AQ46" s="46" t="n"/>
      <c r="AR46" s="404" t="n">
        <v>680000</v>
      </c>
      <c r="AS46" s="416" t="inlineStr">
        <is>
          <t>Lumpsum</t>
        </is>
      </c>
      <c r="AT46" s="9" t="n"/>
      <c r="AU46" s="9" t="n"/>
      <c r="AV46" s="9" t="n"/>
      <c r="AW46" s="398" t="n"/>
    </row>
    <row r="47" ht="15.75" customHeight="1" s="562">
      <c r="B47" s="423" t="inlineStr">
        <is>
          <t>COMMON FACILITIES DATA</t>
        </is>
      </c>
      <c r="C47" s="615" t="n"/>
      <c r="D47" s="615" t="n"/>
      <c r="E47" s="425" t="n"/>
      <c r="F47" s="20" t="inlineStr">
        <is>
          <t>Casting Part No</t>
        </is>
      </c>
      <c r="G47" s="214" t="n"/>
      <c r="I47" s="606" t="n"/>
      <c r="J47" s="281" t="inlineStr">
        <is>
          <t>Deflashing station</t>
        </is>
      </c>
      <c r="K47" s="284" t="n"/>
      <c r="L47" s="283" t="n"/>
      <c r="M47" s="284" t="n"/>
      <c r="N47" s="402">
        <f>M47*V5</f>
        <v/>
      </c>
      <c r="O47" s="238" t="n">
        <v>10</v>
      </c>
      <c r="P47" s="603" t="n"/>
      <c r="Q47" s="251" t="inlineStr">
        <is>
          <t>Welding Fixture</t>
        </is>
      </c>
      <c r="R47" s="589" t="n"/>
      <c r="S47" s="323" t="n">
        <v>0</v>
      </c>
      <c r="T47" s="6" t="n">
        <v>33</v>
      </c>
      <c r="U47" s="426" t="inlineStr">
        <is>
          <t>Total after assembly machining Investment for all cells</t>
        </is>
      </c>
      <c r="V47" s="427" t="n"/>
      <c r="W47" s="428">
        <f>W46*W14</f>
        <v/>
      </c>
      <c r="X47" s="428">
        <f>IF((X14&gt;1),(X46*W14),X46)</f>
        <v/>
      </c>
      <c r="Y47" s="429" t="n"/>
      <c r="Z47" s="182" t="n"/>
      <c r="AB47" s="46" t="inlineStr">
        <is>
          <t>Cost of Material Handling</t>
        </is>
      </c>
      <c r="AC47" s="403" t="n">
        <v>3</v>
      </c>
      <c r="AD47" s="404" t="n"/>
      <c r="AE47" s="405" t="n">
        <v>33</v>
      </c>
      <c r="AF47" s="79" t="inlineStr">
        <is>
          <t>Power rating for cell (kw/hr)</t>
        </is>
      </c>
      <c r="AG47" s="384" t="n"/>
      <c r="AH47" s="179" t="n"/>
      <c r="AI47" s="430" t="n"/>
      <c r="AJ47" s="9" t="n"/>
      <c r="AK47" s="9" t="n"/>
      <c r="AL47" s="9" t="n"/>
      <c r="AM47" s="10" t="n"/>
      <c r="AP47" s="46" t="inlineStr">
        <is>
          <t>Cost of Material Handling</t>
        </is>
      </c>
      <c r="AQ47" s="46" t="n"/>
      <c r="AR47" s="404" t="n">
        <v>300000</v>
      </c>
      <c r="AS47" s="405" t="n">
        <v>33</v>
      </c>
      <c r="AT47" s="79" t="n">
        <v>115</v>
      </c>
      <c r="AU47" s="384" t="n"/>
      <c r="AV47" s="179" t="n"/>
      <c r="AW47" s="431" t="n">
        <v>0</v>
      </c>
    </row>
    <row r="48" ht="36" customHeight="1" s="562">
      <c r="B48" s="432" t="inlineStr">
        <is>
          <t>Shot blasting M/c</t>
        </is>
      </c>
      <c r="C48" s="433" t="n"/>
      <c r="D48" s="434" t="n"/>
      <c r="E48" s="435" t="n">
        <v>10</v>
      </c>
      <c r="F48" s="152" t="inlineStr">
        <is>
          <t>Casting Part Drg No</t>
        </is>
      </c>
      <c r="G48" s="218" t="n"/>
      <c r="I48" s="601" t="inlineStr">
        <is>
          <t>Common Facilities</t>
        </is>
      </c>
      <c r="J48" s="436" t="inlineStr">
        <is>
          <t>Shot blasting M/c</t>
        </is>
      </c>
      <c r="K48" s="437" t="n">
        <v>4</v>
      </c>
      <c r="L48" s="438" t="n"/>
      <c r="M48" s="439" t="n"/>
      <c r="N48" s="322">
        <f>M48*V5</f>
        <v/>
      </c>
      <c r="O48" s="238" t="n">
        <v>10</v>
      </c>
      <c r="P48" s="603" t="n"/>
      <c r="Q48" s="251" t="inlineStr">
        <is>
          <t>Fan for Operators (Areas at Core, Decore, Casting, Fettling, HT (if any), Sh/blast (if any))</t>
        </is>
      </c>
      <c r="R48" s="589" t="n"/>
      <c r="S48" s="323" t="n">
        <v>0.1</v>
      </c>
      <c r="T48" s="6" t="n"/>
      <c r="U48" s="420" t="n"/>
      <c r="V48" s="376" t="n"/>
      <c r="W48" s="440" t="n"/>
      <c r="X48" s="440" t="n"/>
      <c r="Y48" s="273" t="n"/>
      <c r="Z48" s="182" t="n"/>
      <c r="AB48" s="46" t="inlineStr">
        <is>
          <t>CMM fixture</t>
        </is>
      </c>
      <c r="AC48" s="441" t="n"/>
      <c r="AD48" s="404" t="n"/>
      <c r="AE48" s="416" t="n"/>
      <c r="AF48" s="79" t="inlineStr">
        <is>
          <t>Man Power / Shift / Cell</t>
        </is>
      </c>
      <c r="AG48" s="384" t="n"/>
      <c r="AH48" s="179" t="n"/>
      <c r="AI48" s="417" t="n"/>
      <c r="AJ48" s="9" t="n"/>
      <c r="AK48" s="9" t="n"/>
      <c r="AL48" s="9" t="n"/>
      <c r="AM48" s="10" t="n"/>
      <c r="AP48" s="170" t="n"/>
      <c r="AQ48" s="9" t="n"/>
      <c r="AR48" s="442" t="n"/>
      <c r="AS48" s="416" t="n"/>
      <c r="AT48" s="79" t="n">
        <v>2</v>
      </c>
      <c r="AU48" s="384" t="n"/>
      <c r="AV48" s="179" t="n"/>
      <c r="AW48" s="418" t="n"/>
    </row>
    <row r="49" ht="15.75" customHeight="1" s="562">
      <c r="B49" s="291" t="inlineStr">
        <is>
          <t>Stainless Steel shots cost</t>
        </is>
      </c>
      <c r="C49" s="252" t="n"/>
      <c r="D49" s="252" t="n"/>
      <c r="E49" s="292" t="n"/>
      <c r="F49" s="425" t="n"/>
      <c r="G49" s="443" t="n"/>
      <c r="I49" s="603" t="n"/>
      <c r="J49" s="251" t="inlineStr">
        <is>
          <t>Melting furnace</t>
        </is>
      </c>
      <c r="K49" s="616" t="n">
        <v>1</v>
      </c>
      <c r="L49" s="605" t="n">
        <v>1</v>
      </c>
      <c r="M49" s="252" t="n">
        <v>37</v>
      </c>
      <c r="N49" s="322">
        <f>M49*V5</f>
        <v/>
      </c>
      <c r="O49" s="238" t="n">
        <v>10</v>
      </c>
      <c r="P49" s="603" t="n"/>
      <c r="Q49" s="272" t="inlineStr">
        <is>
          <t>Material handling (Crates+ Trolley)</t>
        </is>
      </c>
      <c r="R49" s="589" t="n"/>
      <c r="S49" s="323" t="n"/>
      <c r="T49" s="6" t="n">
        <v>33</v>
      </c>
      <c r="U49" s="445" t="inlineStr">
        <is>
          <t>TOTAL ASSY INVESTMENTS</t>
        </is>
      </c>
      <c r="V49" s="446" t="n"/>
      <c r="W49" s="447">
        <f>W25+W47</f>
        <v/>
      </c>
      <c r="X49" s="447">
        <f>X25+X47</f>
        <v/>
      </c>
      <c r="Y49" s="429" t="n"/>
      <c r="Z49" s="182" t="n"/>
      <c r="AB49" s="46" t="inlineStr">
        <is>
          <t xml:space="preserve">Coolant oil cost </t>
        </is>
      </c>
      <c r="AC49" s="204" t="n">
        <v>0.42</v>
      </c>
      <c r="AD49" s="404" t="n"/>
      <c r="AE49" s="416" t="inlineStr">
        <is>
          <t>S&amp;T</t>
        </is>
      </c>
      <c r="AF49" s="79" t="inlineStr">
        <is>
          <t>Floor area required / cell(Sq.M)</t>
        </is>
      </c>
      <c r="AG49" s="384" t="n"/>
      <c r="AH49" s="179" t="n"/>
      <c r="AI49" s="296" t="n"/>
      <c r="AJ49" s="9" t="n"/>
      <c r="AK49" s="9" t="n"/>
      <c r="AL49" s="9" t="n"/>
      <c r="AM49" s="10" t="n"/>
      <c r="AP49" s="46" t="inlineStr">
        <is>
          <t xml:space="preserve">Coolant oil cost </t>
        </is>
      </c>
      <c r="AQ49" s="46" t="n"/>
      <c r="AR49" s="290" t="n">
        <v>41382</v>
      </c>
      <c r="AS49" s="416" t="inlineStr">
        <is>
          <t>S&amp;T</t>
        </is>
      </c>
      <c r="AT49" s="79" t="n">
        <v>226</v>
      </c>
      <c r="AU49" s="384" t="n"/>
      <c r="AV49" s="179" t="n"/>
      <c r="AW49" s="448" t="n"/>
    </row>
    <row r="50" ht="36" customHeight="1" s="562">
      <c r="B50" s="449" t="inlineStr">
        <is>
          <t>2MT Tower furnace</t>
        </is>
      </c>
      <c r="C50" s="252" t="n"/>
      <c r="D50" s="252" t="n"/>
      <c r="E50" s="435" t="n">
        <v>10</v>
      </c>
      <c r="F50" s="233" t="inlineStr">
        <is>
          <t>Shot blasting Output/ hr (Nos)</t>
        </is>
      </c>
      <c r="G50" s="450" t="n"/>
      <c r="I50" s="603" t="n"/>
      <c r="J50" s="251" t="inlineStr">
        <is>
          <t>Melting furnace accessories  
(Fork lift, ATL, Degassing unit, Dross trolley, scrubber unit)</t>
        </is>
      </c>
      <c r="K50" s="595" t="n"/>
      <c r="L50" s="595" t="n"/>
      <c r="M50" s="252" t="n">
        <v>37</v>
      </c>
      <c r="N50" s="322">
        <f>M50*V5</f>
        <v/>
      </c>
      <c r="O50" s="238" t="n">
        <v>10</v>
      </c>
      <c r="P50" s="603" t="n"/>
      <c r="Q50" s="251" t="inlineStr">
        <is>
          <t>Material handling (Trolley type)</t>
        </is>
      </c>
      <c r="R50" s="589" t="n"/>
      <c r="S50" s="323" t="n"/>
      <c r="T50" s="6" t="n">
        <v>33</v>
      </c>
      <c r="U50" s="215" t="n"/>
      <c r="V50" s="273" t="n"/>
      <c r="W50" s="451" t="n"/>
      <c r="X50" s="275" t="n"/>
      <c r="Y50" s="273" t="n"/>
      <c r="Z50" s="182" t="n"/>
      <c r="AB50" s="46" t="inlineStr">
        <is>
          <t xml:space="preserve">DM water cost for coolant, washing &amp; Leak </t>
        </is>
      </c>
      <c r="AC50" s="204" t="n">
        <v>0.22</v>
      </c>
      <c r="AD50" s="404" t="n"/>
      <c r="AE50" s="416" t="inlineStr">
        <is>
          <t>S&amp;T</t>
        </is>
      </c>
      <c r="AF50" s="79" t="inlineStr">
        <is>
          <t>IMP Salvaging %</t>
        </is>
      </c>
      <c r="AG50" s="384" t="n"/>
      <c r="AH50" s="179" t="n"/>
      <c r="AI50" s="305" t="n"/>
      <c r="AJ50" s="9" t="n"/>
      <c r="AK50" s="9" t="n"/>
      <c r="AL50" s="9" t="n"/>
      <c r="AM50" s="10" t="n"/>
      <c r="AP50" s="46" t="inlineStr">
        <is>
          <t xml:space="preserve">DM water cost for coolant, washing &amp; Leak </t>
        </is>
      </c>
      <c r="AQ50" s="46" t="n"/>
      <c r="AR50" s="290" t="n">
        <v>21780</v>
      </c>
      <c r="AS50" s="416" t="inlineStr">
        <is>
          <t>S&amp;T</t>
        </is>
      </c>
      <c r="AT50" s="79" t="inlineStr">
        <is>
          <t>IMP Salvaging %</t>
        </is>
      </c>
      <c r="AU50" s="384" t="n"/>
      <c r="AV50" s="179" t="n"/>
      <c r="AW50" s="412" t="n"/>
    </row>
    <row r="51" ht="24" customHeight="1" s="562">
      <c r="B51" s="291" t="inlineStr">
        <is>
          <t>Melting furnace accessories cost 
(Fork lift, ATL, Degassing unit, Dross trolley, scrubber unit)</t>
        </is>
      </c>
      <c r="C51" s="252" t="n"/>
      <c r="D51" s="252" t="n"/>
      <c r="E51" s="435" t="n">
        <v>10</v>
      </c>
      <c r="F51" s="20" t="inlineStr">
        <is>
          <t>Shot blasting M/c Utilisation (%)</t>
        </is>
      </c>
      <c r="G51" s="452" t="n"/>
      <c r="I51" s="603" t="n"/>
      <c r="J51" s="251" t="inlineStr">
        <is>
          <t>Heat Treatment Furnace (incl crane)</t>
        </is>
      </c>
      <c r="K51" s="252" t="n"/>
      <c r="L51" s="333" t="n"/>
      <c r="M51" s="252" t="n"/>
      <c r="N51" s="453">
        <f>M51</f>
        <v/>
      </c>
      <c r="O51" s="238" t="n">
        <v>10</v>
      </c>
      <c r="P51" s="603" t="n"/>
      <c r="Q51" s="272" t="inlineStr">
        <is>
          <t>PROFILE BURNER</t>
        </is>
      </c>
      <c r="R51" s="589" t="n"/>
      <c r="S51" s="323" t="n"/>
      <c r="T51" s="6" t="n">
        <v>20</v>
      </c>
      <c r="U51" s="454" t="inlineStr">
        <is>
          <t>Power rating (Kw/hr)</t>
        </is>
      </c>
      <c r="V51" s="46" t="n"/>
      <c r="W51" s="46" t="n"/>
      <c r="X51" s="455" t="n"/>
      <c r="Y51" s="456" t="n"/>
      <c r="Z51" s="182" t="n"/>
      <c r="AB51" s="46" t="inlineStr">
        <is>
          <t>BARCODE LABEL</t>
        </is>
      </c>
      <c r="AC51" s="204" t="n"/>
      <c r="AD51" s="404">
        <f>AC51*$W$5</f>
        <v/>
      </c>
      <c r="AE51" s="416" t="inlineStr">
        <is>
          <t>S&amp;T</t>
        </is>
      </c>
      <c r="AF51" s="79" t="inlineStr">
        <is>
          <t>Setup changeover considered (Y/ N)</t>
        </is>
      </c>
      <c r="AG51" s="384" t="n"/>
      <c r="AH51" s="179" t="n"/>
      <c r="AI51" s="412" t="inlineStr">
        <is>
          <t>N</t>
        </is>
      </c>
      <c r="AJ51" s="9" t="n"/>
      <c r="AK51" s="9" t="n"/>
      <c r="AL51" s="9" t="n"/>
      <c r="AM51" s="10" t="n"/>
      <c r="AP51" s="46" t="inlineStr">
        <is>
          <t>Barcode label recurring cost</t>
        </is>
      </c>
      <c r="AQ51" s="46" t="n"/>
      <c r="AR51" s="290" t="n"/>
      <c r="AS51" s="416" t="inlineStr">
        <is>
          <t>S&amp;T</t>
        </is>
      </c>
      <c r="AT51" s="79" t="inlineStr">
        <is>
          <t>Setup changeover considered (Y/ N)</t>
        </is>
      </c>
      <c r="AU51" s="384" t="n"/>
      <c r="AV51" s="179" t="n"/>
      <c r="AW51" s="412" t="n"/>
    </row>
    <row r="52" ht="25.5" customHeight="1" s="562">
      <c r="B52" s="291" t="inlineStr">
        <is>
          <t>Heat Treatment Furnace cost</t>
        </is>
      </c>
      <c r="C52" s="433" t="n"/>
      <c r="D52" s="252" t="n"/>
      <c r="E52" s="435" t="n">
        <v>10</v>
      </c>
      <c r="F52" s="20" t="inlineStr">
        <is>
          <t>Melting furnace capacity/ hr (Kg)</t>
        </is>
      </c>
      <c r="G52" s="450" t="n"/>
      <c r="I52" s="603" t="n"/>
      <c r="J52" s="251" t="inlineStr">
        <is>
          <t>Heat Treatment BatchCode Punching M/c</t>
        </is>
      </c>
      <c r="K52" s="252" t="n"/>
      <c r="L52" s="333" t="n">
        <v>1</v>
      </c>
      <c r="M52" s="252" t="n">
        <v>6</v>
      </c>
      <c r="N52" s="453">
        <f>(M52)*V5</f>
        <v/>
      </c>
      <c r="O52" s="238" t="n">
        <v>10</v>
      </c>
      <c r="P52" s="606" t="n"/>
      <c r="Q52" s="281" t="inlineStr">
        <is>
          <t>Others (if any) Profile Filter</t>
        </is>
      </c>
      <c r="R52" s="608" t="n"/>
      <c r="S52" s="323" t="n">
        <v>3</v>
      </c>
      <c r="T52" s="6" t="n"/>
      <c r="U52" s="457" t="inlineStr">
        <is>
          <t>Is it feasible to use M/cng cell operator for after assembly m/cng (Yes / No)</t>
        </is>
      </c>
      <c r="V52" s="367" t="n"/>
      <c r="W52" s="367" t="n"/>
      <c r="X52" s="305" t="n"/>
      <c r="Y52" s="306" t="n"/>
      <c r="Z52" s="182" t="n"/>
      <c r="AB52" s="46" t="inlineStr">
        <is>
          <t xml:space="preserve">Impregnation Basket cost </t>
        </is>
      </c>
      <c r="AC52" s="204" t="n"/>
      <c r="AD52" s="404">
        <f>AC52*$W$5</f>
        <v/>
      </c>
      <c r="AE52" s="405" t="n">
        <v>33</v>
      </c>
      <c r="AF52" s="79" t="inlineStr">
        <is>
          <t>No of variants planned / cell</t>
        </is>
      </c>
      <c r="AG52" s="384" t="n"/>
      <c r="AH52" s="179" t="n"/>
      <c r="AI52" s="418" t="n">
        <v>1</v>
      </c>
      <c r="AJ52" s="9" t="n"/>
      <c r="AK52" s="9" t="n"/>
      <c r="AL52" s="9" t="n"/>
      <c r="AM52" s="10" t="n"/>
      <c r="AP52" s="46" t="inlineStr">
        <is>
          <t xml:space="preserve">Impregnation Basket cost </t>
        </is>
      </c>
      <c r="AQ52" s="46" t="n"/>
      <c r="AR52" s="404" t="n">
        <v>0</v>
      </c>
      <c r="AS52" s="405" t="n">
        <v>33</v>
      </c>
      <c r="AT52" s="79" t="inlineStr">
        <is>
          <t>No of variants planned / cell</t>
        </is>
      </c>
      <c r="AU52" s="384" t="n"/>
      <c r="AV52" s="179" t="n"/>
      <c r="AW52" s="418" t="n"/>
    </row>
    <row r="53" ht="35.25" customHeight="1" s="562">
      <c r="B53" s="291" t="inlineStr">
        <is>
          <t>Heat Treatment Other accessories
(includes Batch code punching Press / Fixture/ Tool, Final Inspection, Other accessories etc)</t>
        </is>
      </c>
      <c r="C53" s="433" t="n"/>
      <c r="D53" s="433" t="n"/>
      <c r="E53" s="435" t="n">
        <v>10</v>
      </c>
      <c r="F53" s="20" t="inlineStr">
        <is>
          <t>Melting furnace Utilisation (%)</t>
        </is>
      </c>
      <c r="G53" s="458" t="n"/>
      <c r="I53" s="603" t="n"/>
      <c r="J53" s="281" t="inlineStr">
        <is>
          <t>Others (if any) F&amp;G</t>
        </is>
      </c>
      <c r="K53" s="459" t="n"/>
      <c r="L53" s="283" t="n"/>
      <c r="M53" s="459" t="n"/>
      <c r="N53" s="453">
        <f>M53*V5</f>
        <v/>
      </c>
      <c r="O53" s="238" t="n">
        <v>10</v>
      </c>
      <c r="P53" s="617" t="inlineStr">
        <is>
          <t>Common Facilities</t>
        </is>
      </c>
      <c r="Q53" s="233" t="inlineStr">
        <is>
          <t xml:space="preserve">Shot blasting Hanger </t>
        </is>
      </c>
      <c r="R53" s="586" t="n"/>
      <c r="S53" s="323" t="n">
        <v>0.5</v>
      </c>
      <c r="T53" s="6" t="n">
        <v>33</v>
      </c>
      <c r="U53" s="454" t="inlineStr">
        <is>
          <t>Manpower / shift/ cell</t>
        </is>
      </c>
      <c r="V53" s="46" t="n"/>
      <c r="W53" s="46" t="n"/>
      <c r="X53" s="461" t="n"/>
      <c r="Y53" s="297" t="n"/>
      <c r="Z53" s="182" t="n"/>
      <c r="AB53" s="462" t="n"/>
      <c r="AC53" s="204">
        <f>SUM(AC41:AC52)</f>
        <v/>
      </c>
      <c r="AD53" s="204">
        <f>SUM(AD41:AD52)</f>
        <v/>
      </c>
      <c r="AE53" s="9" t="n"/>
      <c r="AF53" s="9" t="n"/>
      <c r="AG53" s="9" t="n"/>
      <c r="AH53" s="9" t="n"/>
      <c r="AI53" s="398" t="n"/>
      <c r="AJ53" s="9" t="n"/>
      <c r="AK53" s="9" t="n"/>
      <c r="AL53" s="9" t="n"/>
      <c r="AM53" s="10" t="n"/>
      <c r="AP53" s="463" t="n"/>
      <c r="AQ53" s="9" t="n"/>
      <c r="AR53" s="9" t="n"/>
      <c r="AS53" s="9" t="n"/>
      <c r="AT53" s="9" t="n"/>
      <c r="AU53" s="9" t="n"/>
      <c r="AV53" s="9" t="n"/>
      <c r="AW53" s="398" t="n"/>
    </row>
    <row r="54" ht="25.5" customHeight="1" s="562">
      <c r="B54" s="291" t="inlineStr">
        <is>
          <t>HT Basket cost</t>
        </is>
      </c>
      <c r="C54" s="433" t="n"/>
      <c r="D54" s="433" t="n"/>
      <c r="E54" s="378" t="n"/>
      <c r="F54" s="20" t="inlineStr">
        <is>
          <t>HT No of parts/ loading (Tentative) (Nos)</t>
        </is>
      </c>
      <c r="G54" s="464" t="n"/>
      <c r="I54" s="606" t="n"/>
      <c r="J54" s="465" t="inlineStr">
        <is>
          <t xml:space="preserve">Total Investment </t>
        </is>
      </c>
      <c r="K54" s="466" t="n"/>
      <c r="L54" s="466" t="n"/>
      <c r="M54" s="467" t="n"/>
      <c r="N54" s="468">
        <f>SUM(N23:N53)</f>
        <v/>
      </c>
      <c r="O54" s="238" t="n">
        <v>277.7</v>
      </c>
      <c r="P54" s="603" t="n"/>
      <c r="Q54" s="251" t="inlineStr">
        <is>
          <t>Stainless Steel shots for the volume</t>
        </is>
      </c>
      <c r="R54" s="589" t="n"/>
      <c r="S54" s="252" t="n"/>
      <c r="T54" s="6" t="n"/>
      <c r="U54" s="469" t="inlineStr">
        <is>
          <t>Floor space required for after assembly m/cng cell (Sq.m/ cell)</t>
        </is>
      </c>
      <c r="V54" s="133" t="n"/>
      <c r="W54" s="133" t="n"/>
      <c r="X54" s="470" t="n">
        <v>55</v>
      </c>
      <c r="Y54" s="471" t="n"/>
      <c r="Z54" s="182" t="n"/>
      <c r="AB54" s="463" t="n"/>
      <c r="AC54" s="472" t="n"/>
      <c r="AD54" s="473" t="n"/>
      <c r="AE54" s="9" t="n"/>
      <c r="AF54" s="9" t="n"/>
      <c r="AG54" s="9" t="n"/>
      <c r="AH54" s="9" t="n"/>
      <c r="AI54" s="398" t="n"/>
      <c r="AJ54" s="9" t="n"/>
      <c r="AK54" s="9" t="n"/>
      <c r="AL54" s="9" t="n"/>
      <c r="AM54" s="10" t="n"/>
      <c r="AP54" s="463" t="n"/>
      <c r="AQ54" s="472" t="n"/>
      <c r="AR54" s="473" t="n"/>
      <c r="AS54" s="9" t="n"/>
      <c r="AT54" s="9" t="n"/>
      <c r="AU54" s="9" t="n"/>
      <c r="AV54" s="9" t="n"/>
      <c r="AW54" s="398" t="n"/>
    </row>
    <row r="55" ht="18" customHeight="1" s="562">
      <c r="B55" s="474" t="inlineStr">
        <is>
          <t>Others (if any)</t>
        </is>
      </c>
      <c r="C55" s="475" t="n"/>
      <c r="D55" s="476" t="n"/>
      <c r="E55" s="477" t="n"/>
      <c r="F55" s="20" t="inlineStr">
        <is>
          <t>HT furnace Utilisation (%)</t>
        </is>
      </c>
      <c r="G55" s="464" t="n"/>
      <c r="I55" s="618" t="inlineStr">
        <is>
          <t>Die</t>
        </is>
      </c>
      <c r="J55" s="619" t="inlineStr">
        <is>
          <t>Die and corebox (if any) cost (Rs. Lac)</t>
        </is>
      </c>
      <c r="K55" s="568" t="n"/>
      <c r="L55" s="480" t="n">
        <v>1</v>
      </c>
      <c r="M55" s="480" t="n">
        <v>1</v>
      </c>
      <c r="N55" s="481" t="n"/>
      <c r="O55" s="482">
        <f>N54-N48</f>
        <v/>
      </c>
      <c r="P55" s="603" t="n"/>
      <c r="Q55" s="251" t="inlineStr">
        <is>
          <t>HT Batch Code Punching Fixture</t>
        </is>
      </c>
      <c r="R55" s="589" t="n"/>
      <c r="S55" s="252" t="n">
        <v>1</v>
      </c>
      <c r="T55" s="6" t="n">
        <v>33</v>
      </c>
      <c r="U55" s="483" t="inlineStr">
        <is>
          <t>Cell</t>
        </is>
      </c>
      <c r="V55" s="484" t="n"/>
      <c r="W55" s="485" t="n"/>
      <c r="X55" s="470" t="n"/>
      <c r="Y55" s="485" t="n"/>
      <c r="Z55" s="486" t="n"/>
      <c r="AA55" s="486" t="n"/>
      <c r="AB55" s="486" t="n"/>
      <c r="AC55" s="487" t="inlineStr">
        <is>
          <t>Mac. S&amp;T. Per kg</t>
        </is>
      </c>
      <c r="AD55" s="488">
        <f>SUM(AD49:AD52)*100000/G4/G9</f>
        <v/>
      </c>
      <c r="AE55" s="382" t="n"/>
      <c r="AF55" s="382" t="n"/>
      <c r="AG55" s="382" t="n"/>
      <c r="AH55" s="382" t="n"/>
      <c r="AI55" s="489" t="n"/>
      <c r="AJ55" s="9" t="n"/>
      <c r="AK55" s="9" t="n"/>
      <c r="AL55" s="9" t="n"/>
      <c r="AM55" s="10" t="n"/>
      <c r="AP55" s="486" t="n"/>
      <c r="AQ55" s="490" t="n"/>
      <c r="AR55" s="491" t="n"/>
      <c r="AS55" s="382" t="n"/>
      <c r="AT55" s="382" t="n"/>
      <c r="AU55" s="382" t="n"/>
      <c r="AV55" s="382" t="n"/>
      <c r="AW55" s="489" t="n"/>
    </row>
    <row r="56" ht="20.25" customHeight="1" s="562">
      <c r="B56" s="413" t="inlineStr">
        <is>
          <t>Total investment/ cell (Rs. Lac)</t>
        </is>
      </c>
      <c r="C56" s="492">
        <f>SUM(C48:C55)*V5</f>
        <v/>
      </c>
      <c r="D56" s="492">
        <f>IFERROR(SUM(D48:D55)*W5,0)</f>
        <v/>
      </c>
      <c r="E56" s="493" t="n"/>
      <c r="F56" s="152" t="inlineStr">
        <is>
          <t>Others (if any)</t>
        </is>
      </c>
      <c r="G56" s="464" t="n"/>
      <c r="I56" s="603" t="n"/>
      <c r="J56" s="304" t="inlineStr">
        <is>
          <t>Die life (shots)</t>
        </is>
      </c>
      <c r="K56" s="569" t="n"/>
      <c r="L56" s="569" t="n"/>
      <c r="M56" s="568" t="n"/>
      <c r="N56" s="494" t="n"/>
      <c r="O56" s="495" t="n"/>
      <c r="P56" s="606" t="n"/>
      <c r="Q56" s="281" t="inlineStr">
        <is>
          <t>HT Basket cost</t>
        </is>
      </c>
      <c r="R56" s="608" t="n"/>
      <c r="S56" s="252" t="n"/>
      <c r="T56" s="6" t="n">
        <v>33</v>
      </c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10" t="n"/>
    </row>
    <row r="57" ht="13.5" customHeight="1" s="562">
      <c r="B57" s="316" t="n"/>
      <c r="C57" s="620" t="n"/>
      <c r="D57" s="620" t="n"/>
      <c r="E57" s="497" t="n"/>
      <c r="F57" s="498" t="inlineStr">
        <is>
          <t>Similar part/ Estimation referred</t>
        </is>
      </c>
      <c r="G57" s="499" t="inlineStr">
        <is>
          <t>-</t>
        </is>
      </c>
      <c r="I57" s="606" t="n"/>
      <c r="J57" s="46" t="inlineStr">
        <is>
          <t>Core box life (shots)</t>
        </is>
      </c>
      <c r="K57" s="569" t="n"/>
      <c r="L57" s="569" t="n"/>
      <c r="M57" s="568" t="n"/>
      <c r="N57" s="494" t="n"/>
      <c r="O57" s="495" t="n"/>
      <c r="P57" s="601" t="inlineStr">
        <is>
          <t>Die</t>
        </is>
      </c>
      <c r="Q57" s="233" t="inlineStr">
        <is>
          <t>Jet Cooling cost (Die Temp. Contr)</t>
        </is>
      </c>
      <c r="R57" s="586" t="n"/>
      <c r="S57" s="500" t="n"/>
      <c r="T57" s="6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10" t="n"/>
    </row>
    <row r="58" ht="15" customHeight="1" s="562">
      <c r="E58" s="55" t="n"/>
      <c r="F58" s="498" t="inlineStr">
        <is>
          <t>Discussed with</t>
        </is>
      </c>
      <c r="G58" s="499" t="inlineStr">
        <is>
          <t>KD/ MR</t>
        </is>
      </c>
      <c r="I58" s="501" t="n"/>
      <c r="J58" s="502" t="inlineStr">
        <is>
          <t>Testing Cost Details:   ( in Rs. only)</t>
        </is>
      </c>
      <c r="K58" s="390" t="n"/>
      <c r="L58" s="390" t="n"/>
      <c r="M58" s="390" t="n"/>
      <c r="N58" s="503" t="n"/>
      <c r="O58" s="504" t="n"/>
      <c r="P58" s="606" t="n"/>
      <c r="Q58" s="281" t="inlineStr">
        <is>
          <t xml:space="preserve">Die service consumable </t>
        </is>
      </c>
      <c r="R58" s="608" t="n"/>
      <c r="S58" s="621" t="n"/>
      <c r="T58" s="6" t="n"/>
      <c r="AB58" s="506" t="inlineStr">
        <is>
          <t>Lump sum</t>
        </is>
      </c>
      <c r="AC58" s="507" t="n"/>
      <c r="AD58" s="507" t="inlineStr">
        <is>
          <t>Rs L</t>
        </is>
      </c>
      <c r="AE58" s="9" t="n"/>
      <c r="AF58" s="9" t="n"/>
      <c r="AG58" s="9" t="n"/>
      <c r="AH58" s="9" t="n"/>
      <c r="AI58" s="9" t="n"/>
      <c r="AJ58" s="9" t="n"/>
      <c r="AK58" s="9" t="n"/>
      <c r="AL58" s="9" t="n"/>
      <c r="AM58" s="10" t="n"/>
      <c r="AQ58" s="508" t="inlineStr">
        <is>
          <t>Capex Summary</t>
        </is>
      </c>
      <c r="AR58" s="509" t="inlineStr">
        <is>
          <t>Amount</t>
        </is>
      </c>
    </row>
    <row r="59" ht="12.75" customHeight="1" s="562">
      <c r="B59" s="508" t="inlineStr">
        <is>
          <t>Capex Summary</t>
        </is>
      </c>
      <c r="C59" s="510" t="inlineStr">
        <is>
          <t>Amount in Rs. In L</t>
        </is>
      </c>
      <c r="E59" s="55" t="n"/>
      <c r="F59" s="511" t="n"/>
      <c r="G59" s="512" t="n"/>
      <c r="I59" s="513" t="n"/>
      <c r="J59" s="622" t="inlineStr">
        <is>
          <t>Chemical Testing cost/ part</t>
        </is>
      </c>
      <c r="K59" s="585" t="n"/>
      <c r="L59" s="585" t="n"/>
      <c r="M59" s="623" t="n"/>
      <c r="N59" s="516" t="n"/>
      <c r="O59" s="495" t="n"/>
      <c r="P59" s="517" t="n"/>
      <c r="Q59" s="624" t="inlineStr">
        <is>
          <t xml:space="preserve">Total Investment </t>
        </is>
      </c>
      <c r="R59" s="568" t="n"/>
      <c r="S59" s="519" t="n"/>
      <c r="T59" s="6">
        <f>58.2*W5</f>
        <v/>
      </c>
      <c r="AB59" s="520" t="inlineStr">
        <is>
          <t>Die Casting - Fixtures &amp; Gauges</t>
        </is>
      </c>
      <c r="AC59" s="29" t="n"/>
      <c r="AD59" s="521" t="n">
        <v>1</v>
      </c>
      <c r="AE59" s="9" t="n"/>
      <c r="AF59" s="9" t="n"/>
      <c r="AG59" s="9" t="n"/>
      <c r="AH59" s="9" t="n"/>
      <c r="AI59" s="9" t="n"/>
      <c r="AJ59" s="9" t="n"/>
      <c r="AK59" s="9" t="n"/>
      <c r="AL59" s="9" t="n"/>
      <c r="AM59" s="10" t="n"/>
    </row>
    <row r="60" ht="21" customHeight="1" s="562">
      <c r="B60" s="522" t="inlineStr">
        <is>
          <t>PDC Machine</t>
        </is>
      </c>
      <c r="C60" s="387">
        <f>SUM(C26:D26)</f>
        <v/>
      </c>
      <c r="D60" s="18" t="n">
        <v>0.1</v>
      </c>
      <c r="E60" s="55" t="inlineStr">
        <is>
          <t>DC</t>
        </is>
      </c>
      <c r="G60" s="523">
        <f>C60</f>
        <v/>
      </c>
      <c r="I60" s="170" t="n"/>
      <c r="J60" s="527" t="inlineStr">
        <is>
          <t>X Ray Testing cost / part</t>
        </is>
      </c>
      <c r="K60" s="588" t="n"/>
      <c r="L60" s="588" t="n"/>
      <c r="M60" s="625" t="n"/>
      <c r="N60" s="526" t="n">
        <v>0</v>
      </c>
      <c r="O60" s="495" t="n"/>
      <c r="P60" s="390" t="inlineStr">
        <is>
          <t>Power Rating Details: (Kw/hr)</t>
        </is>
      </c>
      <c r="Q60" s="390" t="n"/>
      <c r="R60" s="390" t="n"/>
      <c r="S60" s="504" t="n"/>
      <c r="T60" s="6" t="n"/>
      <c r="AB60" s="520" t="inlineStr">
        <is>
          <t>Machining-CMM Fixtures</t>
        </is>
      </c>
      <c r="AC60" s="29" t="n"/>
      <c r="AD60" s="521" t="n">
        <v>1</v>
      </c>
      <c r="AE60" s="9" t="n"/>
      <c r="AF60" s="9" t="n"/>
      <c r="AG60" s="9" t="n"/>
      <c r="AH60" s="9" t="n"/>
      <c r="AI60" s="9" t="n"/>
      <c r="AJ60" s="9" t="n"/>
      <c r="AK60" s="9" t="n"/>
      <c r="AL60" s="9" t="n"/>
      <c r="AM60" s="10" t="n"/>
    </row>
    <row r="61" ht="21" customHeight="1" s="562">
      <c r="B61" s="522" t="n"/>
      <c r="C61" s="387" t="n"/>
      <c r="D61" s="18" t="n"/>
      <c r="E61" s="55" t="n"/>
      <c r="G61" s="523" t="n"/>
      <c r="I61" s="170" t="n"/>
      <c r="J61" s="527" t="n"/>
      <c r="K61" s="528" t="n"/>
      <c r="L61" s="528" t="n"/>
      <c r="M61" s="528" t="n"/>
      <c r="N61" s="526" t="n"/>
      <c r="O61" s="495" t="n"/>
      <c r="P61" s="390" t="n"/>
      <c r="Q61" s="390" t="n"/>
      <c r="R61" s="390" t="n"/>
      <c r="S61" s="504" t="n"/>
      <c r="T61" s="6" t="n"/>
      <c r="AB61" s="520" t="inlineStr">
        <is>
          <t>Child part tool development</t>
        </is>
      </c>
      <c r="AC61" s="29" t="n"/>
      <c r="AD61" s="521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10" t="n"/>
    </row>
    <row r="62" ht="20.25" customHeight="1" s="562">
      <c r="B62" s="522" t="inlineStr">
        <is>
          <t>GDC or PDC Robot/ Automation</t>
        </is>
      </c>
      <c r="C62" s="387">
        <f>SUM(C36)+SUM(N40:N41)</f>
        <v/>
      </c>
      <c r="D62" s="18" t="n">
        <v>0.2</v>
      </c>
      <c r="E62" s="55" t="inlineStr">
        <is>
          <t>DC</t>
        </is>
      </c>
      <c r="I62" s="170" t="n"/>
      <c r="J62" s="626" t="inlineStr">
        <is>
          <t>Tensile Testing cost / part</t>
        </is>
      </c>
      <c r="K62" s="588" t="n"/>
      <c r="L62" s="588" t="n"/>
      <c r="M62" s="625" t="n"/>
      <c r="N62" s="526" t="n"/>
      <c r="O62" s="495" t="n"/>
      <c r="P62" s="627" t="inlineStr">
        <is>
          <t>Casting Cell
(Incl Core shoot, Decore, Holding furnace, Casting, Power pack, Cutting, Linishing, Robot, Extractor)</t>
        </is>
      </c>
      <c r="Q62" s="573" t="n"/>
      <c r="R62" s="574" t="n"/>
      <c r="S62" s="296" t="n"/>
      <c r="T62" s="6" t="n"/>
      <c r="Z62" s="6" t="n"/>
      <c r="AB62" s="530" t="inlineStr">
        <is>
          <t>Total</t>
        </is>
      </c>
      <c r="AC62" s="531" t="n"/>
      <c r="AD62" s="532">
        <f>SUM(AD59:AD61)</f>
        <v/>
      </c>
      <c r="AE62" s="9" t="n"/>
      <c r="AF62" s="9" t="n"/>
      <c r="AG62" s="9" t="n"/>
      <c r="AH62" s="9" t="n"/>
      <c r="AI62" s="9" t="n"/>
      <c r="AJ62" s="9" t="n"/>
      <c r="AK62" s="9" t="n"/>
      <c r="AL62" s="9" t="n"/>
      <c r="AM62" s="10" t="n"/>
    </row>
    <row r="63" ht="21" customHeight="1" s="562">
      <c r="B63" s="522" t="inlineStr">
        <is>
          <t>Machines- Material handling</t>
        </is>
      </c>
      <c r="C63" s="387">
        <f>SUM(C37:D38)+SUM(S30:S32)</f>
        <v/>
      </c>
      <c r="D63" s="18" t="n">
        <v>0.33</v>
      </c>
      <c r="E63" s="55" t="inlineStr">
        <is>
          <t>MHC</t>
        </is>
      </c>
      <c r="G63" s="33">
        <f>C63</f>
        <v/>
      </c>
      <c r="I63" s="170" t="n"/>
      <c r="J63" s="626" t="inlineStr">
        <is>
          <t>Microstructure Testing cost / part</t>
        </is>
      </c>
      <c r="K63" s="588" t="n"/>
      <c r="L63" s="588" t="n"/>
      <c r="M63" s="625" t="n"/>
      <c r="N63" s="526" t="n"/>
      <c r="O63" s="495" t="n"/>
      <c r="P63" s="575" t="n"/>
      <c r="R63" s="564" t="n"/>
      <c r="S63" s="606" t="n"/>
      <c r="T63" s="533" t="inlineStr">
        <is>
          <t>(2 Holding furnace)</t>
        </is>
      </c>
      <c r="Z63" s="6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10" t="n"/>
    </row>
    <row r="64" ht="41.25" customHeight="1" s="562">
      <c r="B64" s="522" t="inlineStr">
        <is>
          <t>GDC Machine</t>
        </is>
      </c>
      <c r="C64" s="387">
        <f>SUM(N28:N32)+SUM(N45:N47)+SUM(N42:N44)</f>
        <v/>
      </c>
      <c r="D64" s="18" t="n">
        <v>0.1</v>
      </c>
      <c r="E64" s="55" t="inlineStr">
        <is>
          <t>GDC</t>
        </is>
      </c>
      <c r="I64" s="534" t="n"/>
      <c r="J64" s="626" t="inlineStr">
        <is>
          <t>Hardness Testing cost / part</t>
        </is>
      </c>
      <c r="K64" s="588" t="n"/>
      <c r="L64" s="588" t="n"/>
      <c r="M64" s="625" t="n"/>
      <c r="N64" s="526" t="n"/>
      <c r="O64" s="535" t="n"/>
      <c r="P64" s="628" t="inlineStr">
        <is>
          <t>Meltng. Furn. Capacity
(Furnace power rating +  scrupper power rating)</t>
        </is>
      </c>
      <c r="Q64" s="583" t="n"/>
      <c r="R64" s="537" t="n"/>
      <c r="S64" s="296" t="n"/>
      <c r="T64" s="6" t="n"/>
      <c r="Z64" s="6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10" t="n"/>
    </row>
    <row r="65" ht="18.75" customHeight="1" s="562">
      <c r="B65" s="522" t="inlineStr">
        <is>
          <t>Melting furnace</t>
        </is>
      </c>
      <c r="C65" s="387">
        <f>SUM(C50:D51)+N49+N50</f>
        <v/>
      </c>
      <c r="D65" s="18" t="n">
        <v>0.1</v>
      </c>
      <c r="E65" s="55" t="inlineStr">
        <is>
          <t>DC</t>
        </is>
      </c>
      <c r="G65" s="523" t="n"/>
      <c r="I65" s="170" t="n"/>
      <c r="J65" s="626" t="inlineStr">
        <is>
          <t>3D Inspection cost / part</t>
        </is>
      </c>
      <c r="K65" s="588" t="n"/>
      <c r="L65" s="588" t="n"/>
      <c r="M65" s="625" t="n"/>
      <c r="N65" s="526" t="n"/>
      <c r="O65" s="495" t="n"/>
      <c r="P65" s="629" t="inlineStr">
        <is>
          <t>Heat treatment</t>
        </is>
      </c>
      <c r="Q65" s="569" t="n"/>
      <c r="R65" s="568" t="n"/>
      <c r="S65" s="296" t="n"/>
      <c r="T65" s="6" t="n"/>
      <c r="Z65" s="6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10" t="n"/>
    </row>
    <row r="66" ht="18.75" customHeight="1" s="562">
      <c r="B66" s="522" t="inlineStr">
        <is>
          <t>Fettling</t>
        </is>
      </c>
      <c r="C66" s="387">
        <f>SUM(C27:D32)+SUM(C40:D44)+SUM(N33:N38)-D27</f>
        <v/>
      </c>
      <c r="D66" s="18" t="n">
        <v>0.1</v>
      </c>
      <c r="E66" s="55" t="inlineStr">
        <is>
          <t>DC</t>
        </is>
      </c>
      <c r="G66" s="523" t="n"/>
      <c r="I66" s="170" t="n"/>
      <c r="J66" s="626" t="inlineStr">
        <is>
          <t>Porosity Testing cost / part</t>
        </is>
      </c>
      <c r="K66" s="588" t="n"/>
      <c r="L66" s="588" t="n"/>
      <c r="M66" s="625" t="n"/>
      <c r="N66" s="526" t="n">
        <v>0</v>
      </c>
      <c r="O66" s="495" t="n"/>
      <c r="P66" s="629" t="inlineStr">
        <is>
          <t>Shot blasting</t>
        </is>
      </c>
      <c r="Q66" s="569" t="n"/>
      <c r="R66" s="568" t="n"/>
      <c r="S66" s="296" t="n"/>
      <c r="T66" s="6" t="n"/>
      <c r="Z66" s="6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10" t="n"/>
    </row>
    <row r="67" ht="18.75" customHeight="1" s="562">
      <c r="B67" s="522" t="inlineStr">
        <is>
          <t>Fettling- Tools- 3 Years</t>
        </is>
      </c>
      <c r="C67" s="387">
        <f>S33+S36+S40+S47+D27</f>
        <v/>
      </c>
      <c r="D67" s="18" t="n">
        <v>0.33</v>
      </c>
      <c r="E67" s="55" t="inlineStr">
        <is>
          <t>TC</t>
        </is>
      </c>
      <c r="F67" s="5" t="n">
        <v>0</v>
      </c>
      <c r="I67" s="170" t="n"/>
      <c r="J67" s="630" t="inlineStr">
        <is>
          <t>Insert testing</t>
        </is>
      </c>
      <c r="K67" s="631" t="n"/>
      <c r="L67" s="631" t="n"/>
      <c r="M67" s="632" t="n"/>
      <c r="N67" s="541" t="n"/>
      <c r="O67" s="495" t="n"/>
      <c r="P67" s="633" t="inlineStr">
        <is>
          <t>Discussed with: MOHAN / SATHISH</t>
        </is>
      </c>
      <c r="Q67" s="569" t="n"/>
      <c r="R67" s="569" t="n"/>
      <c r="S67" s="568" t="n"/>
      <c r="T67" s="6" t="n"/>
      <c r="Z67" s="6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10" t="n"/>
    </row>
    <row r="68" ht="18.75" customHeight="1" s="562">
      <c r="B68" s="522" t="inlineStr">
        <is>
          <t>Fettling- Tools- 5 Years</t>
        </is>
      </c>
      <c r="C68" s="387">
        <f>C34+D34+S43+S45</f>
        <v/>
      </c>
      <c r="D68" s="18" t="n">
        <v>0.2</v>
      </c>
      <c r="E68" s="55" t="inlineStr">
        <is>
          <t>TC</t>
        </is>
      </c>
      <c r="F68" s="5" t="n">
        <v>0</v>
      </c>
      <c r="I68" s="381" t="n"/>
      <c r="J68" s="634" t="inlineStr">
        <is>
          <t>Others (if any)</t>
        </is>
      </c>
      <c r="K68" s="569" t="n"/>
      <c r="L68" s="569" t="n"/>
      <c r="M68" s="635" t="n"/>
      <c r="N68" s="541" t="n">
        <v>0</v>
      </c>
      <c r="O68" s="544" t="n"/>
      <c r="P68" s="636" t="inlineStr">
        <is>
          <t xml:space="preserve">Similar part/ Estn referred: </t>
        </is>
      </c>
      <c r="Q68" s="573" t="n"/>
      <c r="R68" s="573" t="n"/>
      <c r="S68" s="574" t="n"/>
      <c r="T68" s="6" t="n"/>
      <c r="Z68" s="6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10" t="n"/>
    </row>
    <row r="69" ht="18.75" customHeight="1" s="562">
      <c r="B69" s="522" t="inlineStr">
        <is>
          <t>Fettling- Mat handling</t>
        </is>
      </c>
      <c r="C69" s="387">
        <f>S34+S35+S37+S38+S39+S41+S42+S46+S49+S50</f>
        <v/>
      </c>
      <c r="D69" s="18" t="n">
        <v>0.33</v>
      </c>
      <c r="E69" s="55" t="inlineStr">
        <is>
          <t>MHC</t>
        </is>
      </c>
      <c r="G69" s="33">
        <f>C69</f>
        <v/>
      </c>
      <c r="J69" s="356" t="inlineStr">
        <is>
          <t>Total Testing Cost/ Part</t>
        </is>
      </c>
      <c r="K69" s="569" t="n"/>
      <c r="L69" s="569" t="n"/>
      <c r="M69" s="568" t="n"/>
      <c r="N69" s="549">
        <f>(SUM(N59:N68))</f>
        <v/>
      </c>
      <c r="O69" s="550">
        <f>101.8*W5</f>
        <v/>
      </c>
      <c r="T69" s="6" t="n"/>
      <c r="Z69" s="6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10" t="n"/>
    </row>
    <row r="70" ht="18.75" customHeight="1" s="562">
      <c r="B70" s="522" t="inlineStr">
        <is>
          <t xml:space="preserve">Core making </t>
        </is>
      </c>
      <c r="C70" s="637">
        <f>SUM(N23:N27)</f>
        <v/>
      </c>
      <c r="D70" s="18" t="n">
        <v>0.1</v>
      </c>
      <c r="E70" s="55" t="inlineStr">
        <is>
          <t>CM</t>
        </is>
      </c>
      <c r="N70" s="10" t="n"/>
      <c r="O70" s="6" t="n"/>
      <c r="T70" s="6" t="n"/>
      <c r="Z70" s="6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10" t="n"/>
    </row>
    <row r="71" ht="18.75" customHeight="1" s="562">
      <c r="B71" s="522" t="inlineStr">
        <is>
          <t>Core making - Material Handling</t>
        </is>
      </c>
      <c r="C71" s="637">
        <f>SUM(S23:S27)</f>
        <v/>
      </c>
      <c r="D71" s="18" t="n">
        <v>0.33</v>
      </c>
      <c r="E71" s="55" t="inlineStr">
        <is>
          <t>MHC</t>
        </is>
      </c>
      <c r="G71" s="33">
        <f>C71</f>
        <v/>
      </c>
      <c r="N71" s="10" t="n"/>
      <c r="O71" s="6" t="n"/>
      <c r="T71" s="6" t="n"/>
      <c r="Z71" s="6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10" t="n"/>
    </row>
    <row r="72" ht="18.75" customHeight="1" s="562">
      <c r="B72" s="522" t="inlineStr">
        <is>
          <t>Core making - Tools- 3 Years</t>
        </is>
      </c>
      <c r="C72" s="637" t="n"/>
      <c r="D72" s="18" t="n">
        <v>0.33</v>
      </c>
      <c r="E72" s="55" t="inlineStr">
        <is>
          <t>TC</t>
        </is>
      </c>
      <c r="N72" s="10" t="n"/>
      <c r="O72" s="6" t="n"/>
      <c r="T72" s="6" t="n"/>
      <c r="Z72" s="6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10" t="n"/>
    </row>
    <row r="73" ht="18.75" customHeight="1" s="562">
      <c r="B73" s="522" t="inlineStr">
        <is>
          <t>Core making - Tools- 5 Years</t>
        </is>
      </c>
      <c r="C73" s="637">
        <f>S28+S29</f>
        <v/>
      </c>
      <c r="D73" s="18" t="n">
        <v>0.2</v>
      </c>
      <c r="E73" s="55" t="inlineStr">
        <is>
          <t>TC</t>
        </is>
      </c>
      <c r="N73" s="10" t="n"/>
      <c r="O73" s="6" t="n"/>
      <c r="T73" s="6" t="n"/>
      <c r="Z73" s="6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10" t="n"/>
    </row>
    <row r="74" ht="18.75" customHeight="1" s="562">
      <c r="B74" s="522" t="inlineStr">
        <is>
          <t>Alumina Blasting</t>
        </is>
      </c>
      <c r="C74" s="552" t="n"/>
      <c r="D74" s="18" t="n"/>
      <c r="E74" s="55" t="n"/>
      <c r="N74" s="10" t="n"/>
      <c r="O74" s="6" t="n"/>
      <c r="T74" s="6" t="n"/>
      <c r="Z74" s="6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10" t="n"/>
    </row>
    <row r="75" ht="18.75" customHeight="1" s="562">
      <c r="B75" s="522" t="inlineStr">
        <is>
          <t>Shot Blasting</t>
        </is>
      </c>
      <c r="C75" s="387">
        <f>SUM(C48:D48)+N48</f>
        <v/>
      </c>
      <c r="D75" s="18" t="n">
        <v>0.1</v>
      </c>
      <c r="E75" s="55" t="inlineStr">
        <is>
          <t>SB</t>
        </is>
      </c>
      <c r="G75" s="523" t="n"/>
      <c r="N75" s="10" t="n"/>
      <c r="O75" s="6" t="n"/>
      <c r="T75" s="6" t="n"/>
      <c r="Z75" s="6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10" t="n"/>
    </row>
    <row r="76" ht="18.75" customHeight="1" s="562">
      <c r="B76" s="522" t="inlineStr">
        <is>
          <t>Shot Blasting- Material handling</t>
        </is>
      </c>
      <c r="C76" s="387">
        <f>+S53</f>
        <v/>
      </c>
      <c r="D76" s="18" t="n">
        <v>0.33</v>
      </c>
      <c r="E76" s="55" t="inlineStr">
        <is>
          <t>MHC</t>
        </is>
      </c>
      <c r="G76" s="33">
        <f>C76</f>
        <v/>
      </c>
      <c r="N76" s="10" t="n"/>
      <c r="O76" s="6" t="n"/>
      <c r="T76" s="6" t="n"/>
      <c r="Z76" s="6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10" t="n"/>
    </row>
    <row r="77" ht="18.75" customHeight="1" s="562">
      <c r="B77" s="522" t="inlineStr">
        <is>
          <t>Heat Treatment</t>
        </is>
      </c>
      <c r="C77" s="387">
        <f>SUM(C52:D54)+SUM(N51:N53)</f>
        <v/>
      </c>
      <c r="D77" s="18" t="n">
        <v>0.1</v>
      </c>
      <c r="E77" s="55" t="inlineStr">
        <is>
          <t>HT</t>
        </is>
      </c>
      <c r="G77" s="33">
        <f>C77</f>
        <v/>
      </c>
      <c r="N77" s="10" t="n"/>
      <c r="O77" s="6" t="n"/>
      <c r="T77" s="6" t="n"/>
      <c r="Z77" s="6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10" t="n"/>
    </row>
    <row r="78" ht="18.75" customHeight="1" s="562">
      <c r="B78" s="522" t="inlineStr">
        <is>
          <t>Heat Treatment- Material handling</t>
        </is>
      </c>
      <c r="C78" s="387">
        <f>+SUM(S55:S56)</f>
        <v/>
      </c>
      <c r="D78" s="18" t="n">
        <v>0.33</v>
      </c>
      <c r="E78" s="55" t="inlineStr">
        <is>
          <t>MHC</t>
        </is>
      </c>
      <c r="G78" s="33">
        <f>C78</f>
        <v/>
      </c>
      <c r="N78" s="10" t="n"/>
      <c r="O78" s="6" t="n"/>
      <c r="T78" s="6" t="n"/>
      <c r="Z78" s="6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10" t="n"/>
    </row>
    <row r="79" ht="18.75" customHeight="1" s="562">
      <c r="B79" s="553" t="inlineStr">
        <is>
          <t>Bend Removal</t>
        </is>
      </c>
      <c r="C79" s="387">
        <f>C33+N39</f>
        <v/>
      </c>
      <c r="D79" s="18" t="n">
        <v>0.1</v>
      </c>
      <c r="E79" s="55" t="inlineStr">
        <is>
          <t>DC</t>
        </is>
      </c>
      <c r="G79" s="523" t="n"/>
      <c r="N79" s="10" t="n"/>
      <c r="O79" s="6" t="n"/>
      <c r="T79" s="6" t="n"/>
      <c r="Z79" s="6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10" t="n"/>
    </row>
    <row r="80" ht="18.75" customHeight="1" s="562">
      <c r="B80" s="522" t="inlineStr">
        <is>
          <t>Bend removal- Tools- 5 years</t>
        </is>
      </c>
      <c r="C80" s="387">
        <f>+S51+D33</f>
        <v/>
      </c>
      <c r="D80" s="18" t="n">
        <v>0.2</v>
      </c>
      <c r="E80" s="55" t="inlineStr">
        <is>
          <t>MHC</t>
        </is>
      </c>
      <c r="F80" s="5" t="n">
        <v>0</v>
      </c>
      <c r="N80" s="10" t="n"/>
      <c r="O80" s="6" t="n"/>
      <c r="T80" s="6" t="n"/>
      <c r="Z80" s="6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10" t="n"/>
    </row>
    <row r="81" ht="29.25" customHeight="1" s="562">
      <c r="B81" s="522" t="inlineStr">
        <is>
          <t>Bend removal- Material handling</t>
        </is>
      </c>
      <c r="C81" s="387" t="n"/>
      <c r="D81" s="18" t="n">
        <v>0.33</v>
      </c>
      <c r="E81" s="55" t="inlineStr">
        <is>
          <t>TC</t>
        </is>
      </c>
      <c r="N81" s="10" t="n"/>
      <c r="O81" s="6" t="n"/>
      <c r="T81" s="6" t="n"/>
      <c r="Z81" s="6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10" t="n"/>
    </row>
    <row r="82" ht="18.75" customHeight="1" s="562">
      <c r="B82" s="522" t="inlineStr">
        <is>
          <t>Impregnation</t>
        </is>
      </c>
      <c r="C82" s="552" t="n"/>
      <c r="E82" s="55" t="n"/>
      <c r="N82" s="10" t="n"/>
      <c r="O82" s="6" t="n"/>
      <c r="T82" s="6" t="n"/>
      <c r="Z82" s="6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10" t="n"/>
    </row>
    <row r="83" ht="18.75" customHeight="1" s="562">
      <c r="B83" s="522" t="inlineStr">
        <is>
          <t>Painting</t>
        </is>
      </c>
      <c r="C83" s="552" t="n"/>
      <c r="E83" s="55" t="n"/>
      <c r="F83" s="33" t="n"/>
      <c r="N83" s="10" t="n"/>
      <c r="O83" s="6" t="n"/>
      <c r="T83" s="6" t="n"/>
      <c r="Z83" s="6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10" t="n"/>
    </row>
    <row r="84" ht="18.75" customHeight="1" s="562">
      <c r="B84" s="522" t="inlineStr">
        <is>
          <t>ED Coating</t>
        </is>
      </c>
      <c r="C84" s="552" t="n"/>
      <c r="E84" s="55" t="n"/>
      <c r="F84" s="33" t="n"/>
      <c r="N84" s="10" t="n"/>
      <c r="O84" s="6" t="n"/>
      <c r="T84" s="6" t="n"/>
      <c r="Z84" s="6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10" t="n"/>
    </row>
    <row r="85" ht="18.75" customHeight="1" s="562">
      <c r="B85" s="522" t="inlineStr">
        <is>
          <t>DM Water - Casting Machine</t>
        </is>
      </c>
      <c r="C85" s="554">
        <f>SUM(C35:D35)</f>
        <v/>
      </c>
      <c r="D85" s="18" t="n">
        <v>1</v>
      </c>
      <c r="E85" s="55" t="inlineStr">
        <is>
          <t>TC</t>
        </is>
      </c>
      <c r="F85" s="33" t="n">
        <v>0</v>
      </c>
      <c r="N85" s="10" t="n"/>
      <c r="O85" s="6" t="n"/>
      <c r="T85" s="6" t="n"/>
      <c r="Z85" s="6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10" t="n"/>
    </row>
    <row r="86" ht="18.75" customHeight="1" s="562">
      <c r="B86" s="522" t="inlineStr">
        <is>
          <t>Assembly</t>
        </is>
      </c>
      <c r="C86" s="387">
        <f>+SUM(W17:X21)</f>
        <v/>
      </c>
      <c r="D86" s="18" t="n">
        <v>0.1</v>
      </c>
      <c r="E86" s="55" t="inlineStr">
        <is>
          <t>AY/MC</t>
        </is>
      </c>
      <c r="F86" s="555" t="n"/>
      <c r="G86" s="33">
        <f>C86</f>
        <v/>
      </c>
      <c r="N86" s="10" t="n"/>
      <c r="O86" s="6" t="n"/>
      <c r="T86" s="6" t="n"/>
      <c r="Z86" s="6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10" t="n"/>
    </row>
    <row r="87" ht="18.75" customHeight="1" s="562">
      <c r="B87" s="522" t="inlineStr">
        <is>
          <t>Assembly Material handling</t>
        </is>
      </c>
      <c r="C87" s="387">
        <f>W22+X22</f>
        <v/>
      </c>
      <c r="D87" s="18" t="n">
        <v>0.33</v>
      </c>
      <c r="E87" s="55" t="inlineStr">
        <is>
          <t>MHC</t>
        </is>
      </c>
      <c r="G87" s="33">
        <f>C87</f>
        <v/>
      </c>
      <c r="N87" s="10" t="n"/>
      <c r="O87" s="6" t="n"/>
      <c r="T87" s="6" t="n"/>
      <c r="Z87" s="6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10" t="n"/>
    </row>
    <row r="88" ht="18.75" customHeight="1" s="562">
      <c r="B88" s="522" t="inlineStr">
        <is>
          <t>Assembly Tools</t>
        </is>
      </c>
      <c r="C88" s="387" t="n"/>
      <c r="D88" s="18" t="n">
        <v>1</v>
      </c>
      <c r="E88" s="55" t="inlineStr">
        <is>
          <t>TC</t>
        </is>
      </c>
      <c r="N88" s="10" t="n"/>
      <c r="O88" s="6" t="n"/>
      <c r="T88" s="6" t="n"/>
      <c r="Z88" s="6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10" t="n"/>
    </row>
    <row r="89" ht="18.75" customHeight="1" s="562">
      <c r="B89" s="522" t="inlineStr">
        <is>
          <t>Machining- Machines</t>
        </is>
      </c>
      <c r="C89" s="387">
        <f>SUM(AI18:AI34)+AI36</f>
        <v/>
      </c>
      <c r="D89" s="18" t="n">
        <v>0.1</v>
      </c>
      <c r="E89" s="55" t="inlineStr">
        <is>
          <t>AY/MC</t>
        </is>
      </c>
      <c r="G89" s="33">
        <f>C89</f>
        <v/>
      </c>
      <c r="N89" s="10" t="n"/>
      <c r="O89" s="6" t="n"/>
      <c r="T89" s="6" t="n"/>
      <c r="Z89" s="6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10" t="n"/>
    </row>
    <row r="90" ht="18.75" customHeight="1" s="562">
      <c r="A90" s="18" t="n"/>
      <c r="B90" s="522" t="inlineStr">
        <is>
          <t>Machining- Robot/ Automation</t>
        </is>
      </c>
      <c r="C90" s="387">
        <f>AI35</f>
        <v/>
      </c>
      <c r="D90" s="18" t="n">
        <v>0.2</v>
      </c>
      <c r="E90" s="55" t="inlineStr">
        <is>
          <t>AY/MC</t>
        </is>
      </c>
      <c r="N90" s="10" t="n"/>
      <c r="O90" s="6" t="n"/>
      <c r="T90" s="6" t="n"/>
      <c r="Z90" s="6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10" t="n"/>
    </row>
    <row r="91" ht="18.75" customHeight="1" s="562">
      <c r="A91" s="18" t="n"/>
      <c r="B91" s="522" t="inlineStr">
        <is>
          <t>Machining- Mat handling</t>
        </is>
      </c>
      <c r="C91" s="387">
        <f>+AD44+AD47+AD52</f>
        <v/>
      </c>
      <c r="D91" s="18" t="n">
        <v>0.33</v>
      </c>
      <c r="E91" s="55" t="inlineStr">
        <is>
          <t>MHC</t>
        </is>
      </c>
      <c r="G91" s="33">
        <f>C91</f>
        <v/>
      </c>
      <c r="N91" s="10" t="n"/>
      <c r="O91" s="6" t="n"/>
      <c r="T91" s="6" t="n"/>
      <c r="Z91" s="6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10" t="n"/>
    </row>
    <row r="92" ht="18.75" customHeight="1" s="562">
      <c r="B92" s="522" t="inlineStr">
        <is>
          <t>Machining Tools</t>
        </is>
      </c>
      <c r="C92" s="387">
        <f>AD42</f>
        <v/>
      </c>
      <c r="D92" s="18" t="n">
        <v>1</v>
      </c>
      <c r="E92" s="55" t="inlineStr">
        <is>
          <t>TC</t>
        </is>
      </c>
      <c r="F92" s="5" t="n">
        <v>0</v>
      </c>
      <c r="N92" s="10" t="n"/>
      <c r="O92" s="6" t="n"/>
      <c r="T92" s="6" t="n"/>
      <c r="Z92" s="6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10" t="n"/>
    </row>
    <row r="93" ht="18.75" customHeight="1" s="562">
      <c r="B93" s="522" t="inlineStr">
        <is>
          <t>Die Consumables</t>
        </is>
      </c>
      <c r="C93" s="554">
        <f>G19+S58</f>
        <v/>
      </c>
      <c r="D93" s="18" t="n"/>
      <c r="E93" s="55" t="n"/>
      <c r="F93" s="5" t="n">
        <v>0</v>
      </c>
      <c r="N93" s="10" t="n"/>
      <c r="O93" s="6" t="n"/>
      <c r="T93" s="6" t="n"/>
      <c r="Z93" s="6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10" t="n"/>
    </row>
    <row r="94" ht="18.75" customHeight="1" s="562">
      <c r="B94" s="522" t="inlineStr">
        <is>
          <t>After Assy Machining</t>
        </is>
      </c>
      <c r="C94" s="387">
        <f>SUM(W35:W42)</f>
        <v/>
      </c>
      <c r="D94" s="18" t="n">
        <v>0.1</v>
      </c>
      <c r="E94" s="55" t="inlineStr">
        <is>
          <t>AY/MC</t>
        </is>
      </c>
      <c r="N94" s="10" t="n"/>
      <c r="O94" s="6" t="n"/>
      <c r="T94" s="6" t="n"/>
      <c r="Z94" s="6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10" t="n"/>
    </row>
    <row r="95" ht="18.75" customHeight="1" s="562">
      <c r="B95" s="522" t="inlineStr">
        <is>
          <t>After Assy Machining- Material handling</t>
        </is>
      </c>
      <c r="C95" s="387">
        <f>+SUM(W44:X45)</f>
        <v/>
      </c>
      <c r="D95" s="18" t="n">
        <v>0.33</v>
      </c>
      <c r="E95" s="55" t="inlineStr">
        <is>
          <t>MHC</t>
        </is>
      </c>
      <c r="G95" s="33">
        <f>C95</f>
        <v/>
      </c>
      <c r="N95" s="10" t="n"/>
      <c r="O95" s="6" t="n"/>
      <c r="T95" s="6" t="n"/>
      <c r="Z95" s="6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10" t="n"/>
    </row>
    <row r="96" ht="17.25" customHeight="1" s="562">
      <c r="B96" s="522" t="inlineStr">
        <is>
          <t>After Assy Machining- Tools</t>
        </is>
      </c>
      <c r="C96" s="387">
        <f>SUM(W43:X43)</f>
        <v/>
      </c>
      <c r="D96" s="18" t="n">
        <v>1</v>
      </c>
      <c r="E96" s="55" t="inlineStr">
        <is>
          <t>TC</t>
        </is>
      </c>
      <c r="N96" s="10" t="n"/>
      <c r="O96" s="6" t="n"/>
      <c r="T96" s="6" t="n"/>
      <c r="Z96" s="6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10" t="n"/>
    </row>
    <row r="97" ht="17.25" customHeight="1" s="562">
      <c r="B97" s="522" t="inlineStr">
        <is>
          <t>Machining for BO</t>
        </is>
      </c>
      <c r="C97" s="387">
        <f>SUM(AW18:AW34)+AW36</f>
        <v/>
      </c>
      <c r="D97" s="556" t="n">
        <v>0.1034</v>
      </c>
      <c r="E97" s="55" t="inlineStr">
        <is>
          <t>AY/MC</t>
        </is>
      </c>
      <c r="N97" s="10" t="n"/>
      <c r="O97" s="6" t="n"/>
      <c r="T97" s="6" t="n"/>
      <c r="Z97" s="6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10" t="n"/>
    </row>
    <row r="98" ht="17.25" customHeight="1" s="562">
      <c r="B98" s="522" t="inlineStr">
        <is>
          <t>Robot/ Automation-BO</t>
        </is>
      </c>
      <c r="C98" s="387">
        <f>AW35</f>
        <v/>
      </c>
      <c r="D98" s="18" t="n">
        <v>0.2</v>
      </c>
      <c r="E98" s="55" t="n"/>
      <c r="N98" s="10" t="n"/>
      <c r="O98" s="6" t="n"/>
      <c r="T98" s="6" t="n"/>
      <c r="Z98" s="6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10" t="n"/>
    </row>
    <row r="99" ht="17.25" customHeight="1" s="562">
      <c r="B99" s="522" t="inlineStr">
        <is>
          <t>Machining BO- Mat Handling</t>
        </is>
      </c>
      <c r="C99" s="387">
        <f>AR43+AR44+AR47</f>
        <v/>
      </c>
      <c r="D99" s="18" t="n">
        <v>0.33</v>
      </c>
      <c r="E99" s="55" t="inlineStr">
        <is>
          <t>MHC</t>
        </is>
      </c>
      <c r="G99" s="33">
        <f>C99</f>
        <v/>
      </c>
      <c r="N99" s="10" t="n"/>
      <c r="O99" s="6" t="n"/>
      <c r="T99" s="6" t="n"/>
      <c r="Z99" s="6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10" t="n"/>
    </row>
    <row r="100" ht="17.25" customHeight="1" s="562">
      <c r="B100" s="522" t="inlineStr">
        <is>
          <t>Machining BO- Tools</t>
        </is>
      </c>
      <c r="C100" s="387">
        <f>AR42</f>
        <v/>
      </c>
      <c r="D100" s="18" t="n">
        <v>1</v>
      </c>
      <c r="E100" s="55" t="inlineStr">
        <is>
          <t>TC</t>
        </is>
      </c>
      <c r="N100" s="10" t="n"/>
      <c r="O100" s="6" t="n"/>
      <c r="T100" s="6" t="n"/>
      <c r="Z100" s="6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10" t="n"/>
    </row>
    <row r="101" ht="17.25" customHeight="1" s="562">
      <c r="B101" s="522" t="inlineStr">
        <is>
          <t>Total Capex</t>
        </is>
      </c>
      <c r="C101" s="387">
        <f>SUM(C60:C100)-C93-C92-C80-C67-C68-C85</f>
        <v/>
      </c>
      <c r="E101" s="55" t="n"/>
      <c r="N101" s="10" t="n"/>
      <c r="O101" s="6" t="n"/>
      <c r="T101" s="6" t="n"/>
      <c r="Z101" s="6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10" t="n"/>
    </row>
    <row r="102" ht="17.25" customHeight="1" s="562">
      <c r="B102" s="522" t="inlineStr">
        <is>
          <t>Capex as per Project capex-opex details</t>
        </is>
      </c>
      <c r="C102" s="387">
        <f>' Project Capex-Opex Details'!B73</f>
        <v/>
      </c>
      <c r="D102" s="36" t="n"/>
      <c r="E102" s="55" t="n"/>
      <c r="N102" s="10" t="n"/>
      <c r="O102" s="6" t="n"/>
      <c r="T102" s="6" t="n"/>
      <c r="Z102" s="6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10" t="n"/>
    </row>
    <row r="103" ht="17.25" customHeight="1" s="562">
      <c r="B103" s="522" t="inlineStr">
        <is>
          <t>Check for ZERO</t>
        </is>
      </c>
      <c r="C103" s="557">
        <f>C101-C102</f>
        <v/>
      </c>
      <c r="E103" s="55" t="n"/>
      <c r="G103" s="33">
        <f>SUM(G60:G102)</f>
        <v/>
      </c>
      <c r="N103" s="10" t="n"/>
      <c r="O103" s="6" t="n"/>
      <c r="T103" s="6" t="n"/>
      <c r="Z103" s="6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10" t="n"/>
    </row>
    <row r="104" ht="12.75" customHeight="1" s="562">
      <c r="E104" s="55" t="n"/>
      <c r="N104" s="10" t="n"/>
      <c r="O104" s="6" t="n"/>
      <c r="T104" s="6" t="n"/>
      <c r="Z104" s="6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10" t="n"/>
    </row>
    <row r="105" ht="12.75" customHeight="1" s="562">
      <c r="E105" s="55" t="n"/>
      <c r="N105" s="10" t="n"/>
      <c r="O105" s="6" t="n"/>
      <c r="T105" s="6" t="n"/>
      <c r="Z105" s="6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10" t="n"/>
    </row>
    <row r="106" ht="17.25" customHeight="1" s="562">
      <c r="B106" s="508" t="inlineStr">
        <is>
          <t>Testing Cost</t>
        </is>
      </c>
      <c r="C106" s="509" t="inlineStr">
        <is>
          <t>Amount</t>
        </is>
      </c>
      <c r="E106" s="55" t="n"/>
      <c r="N106" s="10" t="n"/>
      <c r="O106" s="6" t="n"/>
      <c r="T106" s="6" t="n"/>
      <c r="Z106" s="6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10" t="n"/>
    </row>
    <row r="107" ht="17.25" customHeight="1" s="562">
      <c r="B107" s="72" t="inlineStr">
        <is>
          <t>Chemical Testing cost/ part</t>
        </is>
      </c>
      <c r="C107" s="54">
        <f>SUM(G29,N59)</f>
        <v/>
      </c>
      <c r="E107" s="55" t="n"/>
      <c r="N107" s="10" t="n"/>
      <c r="O107" s="6" t="n"/>
      <c r="T107" s="6" t="n"/>
      <c r="Z107" s="6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10" t="n"/>
    </row>
    <row r="108" ht="17.25" customHeight="1" s="562">
      <c r="B108" s="72" t="inlineStr">
        <is>
          <t>X Ray Testing cost / part</t>
        </is>
      </c>
      <c r="C108" s="54">
        <f>SUM(G30,N60)</f>
        <v/>
      </c>
      <c r="E108" s="55" t="n"/>
      <c r="N108" s="10" t="n"/>
      <c r="O108" s="6" t="n"/>
      <c r="T108" s="6" t="n"/>
      <c r="Z108" s="6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10" t="n"/>
    </row>
    <row r="109" ht="17.25" customHeight="1" s="562">
      <c r="B109" s="72" t="inlineStr">
        <is>
          <t>Porosity Testing cost / part</t>
        </is>
      </c>
      <c r="C109" s="54">
        <f>SUM(G31,N66)</f>
        <v/>
      </c>
      <c r="E109" s="55" t="n"/>
      <c r="N109" s="10" t="n"/>
      <c r="O109" s="6" t="n"/>
      <c r="T109" s="6" t="n"/>
      <c r="Z109" s="6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10" t="n"/>
    </row>
    <row r="110" ht="17.25" customHeight="1" s="562">
      <c r="B110" s="72" t="inlineStr">
        <is>
          <t>Microstructure Testing cost / part</t>
        </is>
      </c>
      <c r="C110" s="54">
        <f>SUM(G32,N63)</f>
        <v/>
      </c>
      <c r="E110" s="55" t="n"/>
      <c r="N110" s="10" t="n"/>
      <c r="O110" s="6" t="n"/>
      <c r="T110" s="6" t="n"/>
      <c r="Z110" s="6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10" t="n"/>
    </row>
    <row r="111" ht="17.25" customHeight="1" s="562">
      <c r="B111" s="72" t="inlineStr">
        <is>
          <t>Hardness Testing cost / part</t>
        </is>
      </c>
      <c r="C111" s="54">
        <f>SUM(G33,N64)</f>
        <v/>
      </c>
      <c r="E111" s="55" t="n"/>
      <c r="N111" s="10" t="n"/>
      <c r="O111" s="6" t="n"/>
      <c r="T111" s="6" t="n"/>
      <c r="Z111" s="6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10" t="n"/>
    </row>
    <row r="112" ht="17.25" customHeight="1" s="562">
      <c r="B112" s="72" t="inlineStr">
        <is>
          <t>Tensile Testing cost / part</t>
        </is>
      </c>
      <c r="C112" s="54">
        <f>SUM(G34,N62)</f>
        <v/>
      </c>
      <c r="E112" s="55" t="n"/>
      <c r="N112" s="10" t="n"/>
      <c r="O112" s="6" t="n"/>
      <c r="T112" s="6" t="n"/>
      <c r="Z112" s="6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10" t="n"/>
    </row>
    <row r="113" ht="17.25" customHeight="1" s="562">
      <c r="B113" s="72" t="inlineStr">
        <is>
          <t>3D Inspection cost / part</t>
        </is>
      </c>
      <c r="C113" s="54">
        <f>SUM(G35,N65)</f>
        <v/>
      </c>
      <c r="E113" s="55" t="n"/>
      <c r="N113" s="10" t="n"/>
      <c r="O113" s="6" t="n"/>
      <c r="T113" s="6" t="n"/>
      <c r="Z113" s="6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10" t="n"/>
    </row>
    <row r="114" ht="17.25" customHeight="1" s="562">
      <c r="B114" s="72" t="inlineStr">
        <is>
          <t>Core painting cost Korent 1 sand core 200 gm</t>
        </is>
      </c>
      <c r="C114" s="54">
        <f>SUM(N67)</f>
        <v/>
      </c>
      <c r="E114" s="55" t="n"/>
      <c r="N114" s="10" t="n"/>
      <c r="O114" s="6" t="n"/>
      <c r="T114" s="6" t="n"/>
      <c r="Z114" s="6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10" t="n"/>
    </row>
    <row r="115" ht="17.25" customHeight="1" s="562">
      <c r="B115" s="72" t="inlineStr">
        <is>
          <t>Others</t>
        </is>
      </c>
      <c r="C115" s="54">
        <f>SUM(G36,N68)</f>
        <v/>
      </c>
      <c r="E115" s="55" t="n"/>
      <c r="N115" s="10" t="n"/>
      <c r="O115" s="6" t="n"/>
      <c r="T115" s="6" t="n"/>
      <c r="Z115" s="6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10" t="n"/>
    </row>
    <row r="116" ht="20.25" customHeight="1" s="562">
      <c r="E116" s="55" t="n"/>
      <c r="N116" s="10" t="n"/>
      <c r="O116" s="6" t="n"/>
      <c r="T116" s="6" t="n"/>
      <c r="Z116" s="6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10" t="n"/>
    </row>
    <row r="117" ht="20.25" customHeight="1" s="562">
      <c r="B117" s="558" t="inlineStr">
        <is>
          <t>Sub contractor Rate master</t>
        </is>
      </c>
      <c r="C117" s="558" t="inlineStr">
        <is>
          <t>UOM</t>
        </is>
      </c>
      <c r="D117" s="558" t="inlineStr">
        <is>
          <t xml:space="preserve">Cost </t>
        </is>
      </c>
      <c r="N117" s="10" t="n"/>
      <c r="O117" s="6" t="n"/>
      <c r="T117" s="6" t="n"/>
      <c r="Z117" s="6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10" t="n"/>
    </row>
    <row r="118" ht="20.25" customHeight="1" s="562">
      <c r="B118" s="72" t="inlineStr">
        <is>
          <t>Melting</t>
        </is>
      </c>
      <c r="C118" s="559" t="inlineStr">
        <is>
          <t>Rs. Per Kg</t>
        </is>
      </c>
      <c r="D118" s="54" t="n">
        <v>0</v>
      </c>
      <c r="N118" s="10" t="n"/>
      <c r="O118" s="6" t="n"/>
      <c r="T118" s="6" t="n"/>
      <c r="Z118" s="6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10" t="n"/>
    </row>
    <row r="119" ht="20.25" customHeight="1" s="562">
      <c r="B119" s="72" t="inlineStr">
        <is>
          <t>Casting</t>
        </is>
      </c>
      <c r="C119" s="559" t="inlineStr">
        <is>
          <t>Rs. Per Kg</t>
        </is>
      </c>
      <c r="D119" s="54" t="n">
        <v>0</v>
      </c>
      <c r="N119" s="10" t="n"/>
      <c r="O119" s="6" t="n"/>
      <c r="T119" s="6" t="n"/>
      <c r="Z119" s="6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10" t="n"/>
    </row>
    <row r="120" ht="20.25" customHeight="1" s="562">
      <c r="B120" s="72" t="inlineStr">
        <is>
          <t>Fettling</t>
        </is>
      </c>
      <c r="C120" s="559" t="inlineStr">
        <is>
          <t>Rs. Per Kg</t>
        </is>
      </c>
      <c r="D120" s="54" t="n">
        <v>0</v>
      </c>
      <c r="N120" s="10" t="n"/>
      <c r="O120" s="6" t="n"/>
      <c r="T120" s="6" t="n"/>
      <c r="Z120" s="6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10" t="n"/>
    </row>
    <row r="121" ht="20.25" customHeight="1" s="562">
      <c r="B121" s="72" t="inlineStr">
        <is>
          <t>Machining</t>
        </is>
      </c>
      <c r="C121" s="559" t="inlineStr">
        <is>
          <t>Rs. Per Kg</t>
        </is>
      </c>
      <c r="D121" s="54" t="n">
        <v>0</v>
      </c>
      <c r="N121" s="10" t="n"/>
      <c r="O121" s="6" t="n"/>
      <c r="T121" s="6" t="n"/>
      <c r="Z121" s="6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10" t="n"/>
    </row>
    <row r="122" ht="20.25" customHeight="1" s="562">
      <c r="B122" s="72" t="inlineStr">
        <is>
          <t>Shot Blasting</t>
        </is>
      </c>
      <c r="C122" s="559" t="inlineStr">
        <is>
          <t>Rs. Per Kg</t>
        </is>
      </c>
      <c r="D122" s="54" t="n">
        <v>0</v>
      </c>
      <c r="J122" s="560" t="inlineStr">
        <is>
          <t>OUTSOURCE COST</t>
        </is>
      </c>
      <c r="N122" s="10" t="n"/>
      <c r="O122" s="6" t="n"/>
      <c r="T122" s="6" t="n"/>
      <c r="Z122" s="6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10" t="n"/>
    </row>
    <row r="123" ht="20.25" customHeight="1" s="562">
      <c r="B123" s="72" t="inlineStr">
        <is>
          <t>ED Coating</t>
        </is>
      </c>
      <c r="C123" s="559" t="inlineStr">
        <is>
          <t>Rs. Per Kg</t>
        </is>
      </c>
      <c r="D123" s="54">
        <f>152.44</f>
        <v/>
      </c>
      <c r="J123" s="5" t="inlineStr">
        <is>
          <t>Basket cost -  T6</t>
        </is>
      </c>
      <c r="K123" s="5" t="n">
        <v>7745</v>
      </c>
      <c r="N123" s="10" t="n"/>
      <c r="O123" s="6" t="n"/>
      <c r="T123" s="6" t="n"/>
      <c r="Z123" s="6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10" t="n"/>
    </row>
    <row r="124" ht="20.25" customHeight="1" s="562">
      <c r="B124" s="72" t="inlineStr">
        <is>
          <t>Surface coating</t>
        </is>
      </c>
      <c r="C124" s="559" t="inlineStr">
        <is>
          <t>Rs. Per Kg</t>
        </is>
      </c>
      <c r="D124" s="54" t="n">
        <v>0</v>
      </c>
      <c r="J124" s="5" t="inlineStr">
        <is>
          <t>Basket qty</t>
        </is>
      </c>
      <c r="K124" s="5" t="n">
        <v>90</v>
      </c>
      <c r="N124" s="10" t="n"/>
      <c r="O124" s="6" t="n"/>
      <c r="T124" s="6" t="n"/>
      <c r="Z124" s="6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10" t="n"/>
    </row>
    <row r="125" ht="20.25" customHeight="1" s="562">
      <c r="B125" s="72" t="inlineStr">
        <is>
          <t>Surface Treatment</t>
        </is>
      </c>
      <c r="C125" s="559" t="inlineStr">
        <is>
          <t>Rs. Per Kg</t>
        </is>
      </c>
      <c r="D125" s="54" t="n">
        <v>0</v>
      </c>
      <c r="J125" s="5" t="inlineStr">
        <is>
          <t>(as confirmed by estimation team)</t>
        </is>
      </c>
      <c r="K125" s="561">
        <f>K123/K124*0</f>
        <v/>
      </c>
      <c r="N125" s="10" t="n"/>
      <c r="O125" s="6" t="n"/>
      <c r="T125" s="6" t="n"/>
      <c r="Z125" s="6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10" t="n"/>
    </row>
    <row r="126" ht="20.25" customHeight="1" s="562">
      <c r="B126" s="72" t="inlineStr">
        <is>
          <t>Heat Treatment- Ordinary</t>
        </is>
      </c>
      <c r="C126" s="559" t="inlineStr">
        <is>
          <t>Rs. Per Kg</t>
        </is>
      </c>
      <c r="D126" s="54" t="n"/>
      <c r="J126" s="5" t="inlineStr">
        <is>
          <t>Cost incl transport</t>
        </is>
      </c>
      <c r="K126" s="561">
        <f>K125</f>
        <v/>
      </c>
      <c r="N126" s="10" t="n"/>
      <c r="O126" s="6" t="n"/>
      <c r="T126" s="6" t="n"/>
      <c r="Z126" s="6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10" t="n"/>
    </row>
    <row r="127" ht="20.25" customHeight="1" s="562">
      <c r="B127" s="72" t="inlineStr">
        <is>
          <t>Heat Treatment- Special</t>
        </is>
      </c>
      <c r="C127" s="559" t="inlineStr">
        <is>
          <t>Rs. Per Kg</t>
        </is>
      </c>
      <c r="D127" s="54" t="n">
        <v>38</v>
      </c>
      <c r="N127" s="10" t="n"/>
      <c r="O127" s="6" t="n"/>
      <c r="T127" s="6" t="n"/>
      <c r="Z127" s="6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10" t="n"/>
    </row>
    <row r="128" ht="20.25" customHeight="1" s="562">
      <c r="B128" s="72" t="inlineStr">
        <is>
          <t>Bend Removal</t>
        </is>
      </c>
      <c r="C128" s="559" t="inlineStr">
        <is>
          <t>Rs. Per Kg</t>
        </is>
      </c>
      <c r="D128" s="54" t="n">
        <v>0</v>
      </c>
      <c r="N128" s="10" t="n"/>
      <c r="O128" s="6" t="n"/>
      <c r="T128" s="6" t="n"/>
      <c r="Z128" s="6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10" t="n"/>
    </row>
    <row r="129" ht="20.25" customHeight="1" s="562">
      <c r="B129" s="72" t="inlineStr">
        <is>
          <t>Alumina Blasting</t>
        </is>
      </c>
      <c r="C129" s="559" t="inlineStr">
        <is>
          <t>Rs. Per Kg</t>
        </is>
      </c>
      <c r="D129" s="54" t="n">
        <v>0</v>
      </c>
      <c r="N129" s="10" t="n"/>
      <c r="O129" s="6" t="n"/>
      <c r="T129" s="6" t="n"/>
      <c r="Z129" s="6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10" t="n"/>
    </row>
    <row r="130" ht="20.25" customHeight="1" s="562">
      <c r="B130" s="72" t="inlineStr">
        <is>
          <t>Impregnation</t>
        </is>
      </c>
      <c r="C130" s="559" t="inlineStr">
        <is>
          <t>Rs. Per Kg</t>
        </is>
      </c>
      <c r="D130" s="54" t="n">
        <v>12</v>
      </c>
      <c r="N130" s="10" t="n"/>
      <c r="O130" s="6" t="n"/>
      <c r="T130" s="6" t="n"/>
      <c r="Z130" s="6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10" t="n"/>
    </row>
    <row r="131" ht="20.25" customHeight="1" s="562">
      <c r="B131" s="72" t="inlineStr">
        <is>
          <t>Painting</t>
        </is>
      </c>
      <c r="C131" s="559" t="inlineStr">
        <is>
          <t>Rs. Per Kg</t>
        </is>
      </c>
      <c r="D131" s="54" t="n">
        <v>0</v>
      </c>
      <c r="N131" s="10" t="n"/>
      <c r="O131" s="6" t="n"/>
      <c r="T131" s="6" t="n"/>
      <c r="Z131" s="6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10" t="n"/>
    </row>
    <row r="132" ht="12.75" customHeight="1" s="562">
      <c r="E132" s="55" t="n"/>
      <c r="N132" s="10" t="n"/>
      <c r="O132" s="6" t="n"/>
      <c r="T132" s="6" t="n"/>
      <c r="Z132" s="6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10" t="n"/>
    </row>
    <row r="133" ht="12.75" customHeight="1" s="562">
      <c r="E133" s="55" t="n"/>
      <c r="N133" s="10" t="n"/>
      <c r="O133" s="6" t="n"/>
      <c r="T133" s="6" t="n"/>
      <c r="Z133" s="6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10" t="n"/>
    </row>
    <row r="134" ht="12.75" customHeight="1" s="562">
      <c r="E134" s="55" t="n"/>
      <c r="N134" s="10" t="n"/>
      <c r="O134" s="6" t="n"/>
      <c r="T134" s="6" t="n"/>
      <c r="Z134" s="6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10" t="n"/>
    </row>
    <row r="135" ht="12.75" customHeight="1" s="562">
      <c r="E135" s="55" t="n"/>
      <c r="N135" s="10" t="n"/>
      <c r="O135" s="6" t="n"/>
      <c r="T135" s="6" t="n"/>
      <c r="Z135" s="6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10" t="n"/>
    </row>
    <row r="136" ht="12.75" customHeight="1" s="562">
      <c r="E136" s="55" t="n"/>
      <c r="N136" s="10" t="n"/>
      <c r="O136" s="6" t="n"/>
      <c r="T136" s="6" t="n"/>
      <c r="Z136" s="6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10" t="n"/>
    </row>
    <row r="137" ht="12.75" customHeight="1" s="562">
      <c r="E137" s="55" t="n"/>
      <c r="N137" s="10" t="n"/>
      <c r="O137" s="6" t="n"/>
      <c r="T137" s="6" t="n"/>
      <c r="Z137" s="6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10" t="n"/>
    </row>
    <row r="138" ht="12.75" customHeight="1" s="562">
      <c r="E138" s="55" t="n"/>
      <c r="N138" s="10" t="n"/>
      <c r="O138" s="6" t="n"/>
      <c r="T138" s="6" t="n"/>
      <c r="Z138" s="6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10" t="n"/>
    </row>
    <row r="139" ht="12.75" customHeight="1" s="562">
      <c r="E139" s="55" t="n"/>
      <c r="N139" s="10" t="n"/>
      <c r="O139" s="6" t="n"/>
      <c r="T139" s="6" t="n"/>
      <c r="Z139" s="6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10" t="n"/>
    </row>
    <row r="140" ht="12.75" customHeight="1" s="562">
      <c r="E140" s="55" t="n"/>
      <c r="N140" s="10" t="n"/>
      <c r="O140" s="6" t="n"/>
      <c r="T140" s="6" t="n"/>
      <c r="Z140" s="6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10" t="n"/>
    </row>
    <row r="141" ht="12.75" customHeight="1" s="562">
      <c r="E141" s="55" t="n"/>
      <c r="N141" s="10" t="n"/>
      <c r="O141" s="6" t="n"/>
      <c r="T141" s="6" t="n"/>
      <c r="Z141" s="6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10" t="n"/>
    </row>
    <row r="142" ht="12.75" customHeight="1" s="562">
      <c r="E142" s="55" t="n"/>
      <c r="N142" s="10" t="n"/>
      <c r="O142" s="6" t="n"/>
      <c r="T142" s="6" t="n"/>
      <c r="Z142" s="6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10" t="n"/>
    </row>
    <row r="143" ht="12.75" customHeight="1" s="562">
      <c r="E143" s="55" t="n"/>
      <c r="N143" s="10" t="n"/>
      <c r="O143" s="6" t="n"/>
      <c r="T143" s="6" t="n"/>
      <c r="Z143" s="6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10" t="n"/>
    </row>
    <row r="144" ht="12.75" customHeight="1" s="562">
      <c r="E144" s="55" t="n"/>
      <c r="N144" s="10" t="n"/>
      <c r="O144" s="6" t="n"/>
      <c r="T144" s="6" t="n"/>
      <c r="Z144" s="6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10" t="n"/>
    </row>
    <row r="145" ht="12.75" customHeight="1" s="562">
      <c r="E145" s="55" t="n"/>
      <c r="N145" s="10" t="n"/>
      <c r="O145" s="6" t="n"/>
      <c r="T145" s="6" t="n"/>
      <c r="Z145" s="6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10" t="n"/>
    </row>
    <row r="146" ht="12.75" customHeight="1" s="562">
      <c r="E146" s="55" t="n"/>
      <c r="N146" s="10" t="n"/>
      <c r="O146" s="6" t="n"/>
      <c r="T146" s="6" t="n"/>
      <c r="Z146" s="6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10" t="n"/>
    </row>
    <row r="147" ht="12.75" customHeight="1" s="562">
      <c r="E147" s="55" t="n"/>
      <c r="N147" s="10" t="n"/>
      <c r="O147" s="6" t="n"/>
      <c r="T147" s="6" t="n"/>
      <c r="Z147" s="6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10" t="n"/>
    </row>
    <row r="148" ht="12.75" customHeight="1" s="562">
      <c r="E148" s="55" t="n"/>
      <c r="N148" s="10" t="n"/>
      <c r="O148" s="6" t="n"/>
      <c r="T148" s="6" t="n"/>
      <c r="Z148" s="6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10" t="n"/>
    </row>
    <row r="149" ht="12.75" customHeight="1" s="562">
      <c r="E149" s="55" t="n"/>
      <c r="N149" s="10" t="n"/>
      <c r="O149" s="6" t="n"/>
      <c r="T149" s="6" t="n"/>
      <c r="Z149" s="6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10" t="n"/>
    </row>
    <row r="150" ht="12.75" customHeight="1" s="562">
      <c r="E150" s="55" t="n"/>
      <c r="N150" s="10" t="n"/>
      <c r="O150" s="6" t="n"/>
      <c r="T150" s="6" t="n"/>
      <c r="Z150" s="6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10" t="n"/>
    </row>
    <row r="151" ht="12.75" customHeight="1" s="562">
      <c r="E151" s="55" t="n"/>
      <c r="N151" s="10" t="n"/>
      <c r="O151" s="6" t="n"/>
      <c r="T151" s="6" t="n"/>
      <c r="Z151" s="6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10" t="n"/>
    </row>
    <row r="152" ht="12.75" customHeight="1" s="562">
      <c r="E152" s="55" t="n"/>
      <c r="N152" s="10" t="n"/>
      <c r="O152" s="6" t="n"/>
      <c r="T152" s="6" t="n"/>
      <c r="Z152" s="6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10" t="n"/>
    </row>
    <row r="153" ht="12.75" customHeight="1" s="562">
      <c r="E153" s="55" t="n"/>
      <c r="N153" s="10" t="n"/>
      <c r="O153" s="6" t="n"/>
      <c r="T153" s="6" t="n"/>
      <c r="Z153" s="6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10" t="n"/>
    </row>
    <row r="154" ht="12.75" customHeight="1" s="562">
      <c r="E154" s="55" t="n"/>
      <c r="N154" s="10" t="n"/>
      <c r="O154" s="6" t="n"/>
      <c r="T154" s="6" t="n"/>
      <c r="Z154" s="6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10" t="n"/>
    </row>
    <row r="155" ht="12.75" customHeight="1" s="562">
      <c r="E155" s="55" t="n"/>
      <c r="N155" s="10" t="n"/>
      <c r="O155" s="6" t="n"/>
      <c r="T155" s="6" t="n"/>
      <c r="Z155" s="6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10" t="n"/>
    </row>
    <row r="156" ht="12.75" customHeight="1" s="562">
      <c r="E156" s="55" t="n"/>
      <c r="N156" s="10" t="n"/>
      <c r="O156" s="6" t="n"/>
      <c r="T156" s="6" t="n"/>
      <c r="Z156" s="6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10" t="n"/>
    </row>
    <row r="157" ht="12.75" customHeight="1" s="562">
      <c r="E157" s="55" t="n"/>
      <c r="N157" s="10" t="n"/>
      <c r="O157" s="6" t="n"/>
      <c r="T157" s="6" t="n"/>
      <c r="Z157" s="6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10" t="n"/>
    </row>
    <row r="158" ht="12.75" customHeight="1" s="562">
      <c r="E158" s="55" t="n"/>
      <c r="N158" s="10" t="n"/>
      <c r="O158" s="6" t="n"/>
      <c r="T158" s="6" t="n"/>
      <c r="Z158" s="6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10" t="n"/>
    </row>
    <row r="159" ht="12.75" customHeight="1" s="562">
      <c r="E159" s="55" t="n"/>
      <c r="N159" s="10" t="n"/>
      <c r="O159" s="6" t="n"/>
      <c r="T159" s="6" t="n"/>
      <c r="Z159" s="6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10" t="n"/>
    </row>
    <row r="160" ht="12.75" customHeight="1" s="562">
      <c r="E160" s="55" t="n"/>
      <c r="N160" s="10" t="n"/>
      <c r="O160" s="6" t="n"/>
      <c r="T160" s="6" t="n"/>
      <c r="Z160" s="6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10" t="n"/>
    </row>
    <row r="161" ht="12.75" customHeight="1" s="562">
      <c r="E161" s="55" t="n"/>
      <c r="N161" s="10" t="n"/>
      <c r="O161" s="6" t="n"/>
      <c r="T161" s="6" t="n"/>
      <c r="Z161" s="6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10" t="n"/>
    </row>
    <row r="162" ht="12.75" customHeight="1" s="562">
      <c r="E162" s="55" t="n"/>
      <c r="N162" s="10" t="n"/>
      <c r="O162" s="6" t="n"/>
      <c r="T162" s="6" t="n"/>
      <c r="Z162" s="6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10" t="n"/>
    </row>
    <row r="163" ht="12.75" customHeight="1" s="562">
      <c r="E163" s="55" t="n"/>
      <c r="N163" s="10" t="n"/>
      <c r="O163" s="6" t="n"/>
      <c r="T163" s="6" t="n"/>
      <c r="Z163" s="6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10" t="n"/>
    </row>
    <row r="164" ht="12.75" customHeight="1" s="562">
      <c r="E164" s="55" t="n"/>
      <c r="N164" s="10" t="n"/>
      <c r="O164" s="6" t="n"/>
      <c r="T164" s="6" t="n"/>
      <c r="Z164" s="6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10" t="n"/>
    </row>
    <row r="165" ht="12.75" customHeight="1" s="562">
      <c r="E165" s="55" t="n"/>
      <c r="N165" s="10" t="n"/>
      <c r="O165" s="6" t="n"/>
      <c r="T165" s="6" t="n"/>
      <c r="Z165" s="6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10" t="n"/>
    </row>
    <row r="166" ht="12.75" customHeight="1" s="562">
      <c r="E166" s="55" t="n"/>
      <c r="N166" s="10" t="n"/>
      <c r="O166" s="6" t="n"/>
      <c r="T166" s="6" t="n"/>
      <c r="Z166" s="6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10" t="n"/>
    </row>
    <row r="167" ht="12.75" customHeight="1" s="562">
      <c r="E167" s="55" t="n"/>
      <c r="N167" s="10" t="n"/>
      <c r="O167" s="6" t="n"/>
      <c r="T167" s="6" t="n"/>
      <c r="Z167" s="6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10" t="n"/>
    </row>
    <row r="168" ht="12.75" customHeight="1" s="562">
      <c r="E168" s="55" t="n"/>
      <c r="N168" s="10" t="n"/>
      <c r="O168" s="6" t="n"/>
      <c r="T168" s="6" t="n"/>
      <c r="Z168" s="6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10" t="n"/>
    </row>
    <row r="169" ht="12.75" customHeight="1" s="562">
      <c r="E169" s="55" t="n"/>
      <c r="N169" s="10" t="n"/>
      <c r="O169" s="6" t="n"/>
      <c r="T169" s="6" t="n"/>
      <c r="Z169" s="6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10" t="n"/>
    </row>
    <row r="170" ht="12.75" customHeight="1" s="562">
      <c r="E170" s="55" t="n"/>
      <c r="N170" s="10" t="n"/>
      <c r="O170" s="6" t="n"/>
      <c r="T170" s="6" t="n"/>
      <c r="Z170" s="6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10" t="n"/>
    </row>
    <row r="171" ht="12.75" customHeight="1" s="562">
      <c r="E171" s="55" t="n"/>
      <c r="N171" s="10" t="n"/>
      <c r="O171" s="6" t="n"/>
      <c r="T171" s="6" t="n"/>
      <c r="Z171" s="6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10" t="n"/>
    </row>
    <row r="172" ht="12.75" customHeight="1" s="562">
      <c r="E172" s="55" t="n"/>
      <c r="N172" s="10" t="n"/>
      <c r="O172" s="6" t="n"/>
      <c r="T172" s="6" t="n"/>
      <c r="Z172" s="6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10" t="n"/>
    </row>
    <row r="173" ht="12.75" customHeight="1" s="562">
      <c r="E173" s="55" t="n"/>
      <c r="N173" s="10" t="n"/>
      <c r="O173" s="6" t="n"/>
      <c r="T173" s="6" t="n"/>
      <c r="Z173" s="6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10" t="n"/>
    </row>
    <row r="174" ht="12.75" customHeight="1" s="562">
      <c r="E174" s="55" t="n"/>
      <c r="N174" s="10" t="n"/>
      <c r="O174" s="6" t="n"/>
      <c r="T174" s="6" t="n"/>
      <c r="Z174" s="6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10" t="n"/>
    </row>
    <row r="175" ht="12.75" customHeight="1" s="562">
      <c r="E175" s="55" t="n"/>
      <c r="N175" s="10" t="n"/>
      <c r="O175" s="6" t="n"/>
      <c r="T175" s="6" t="n"/>
      <c r="Z175" s="6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10" t="n"/>
    </row>
    <row r="176" ht="12.75" customHeight="1" s="562">
      <c r="E176" s="55" t="n"/>
      <c r="N176" s="10" t="n"/>
      <c r="O176" s="6" t="n"/>
      <c r="T176" s="6" t="n"/>
      <c r="Z176" s="6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10" t="n"/>
    </row>
    <row r="177" ht="12.75" customHeight="1" s="562">
      <c r="E177" s="55" t="n"/>
      <c r="N177" s="10" t="n"/>
      <c r="O177" s="6" t="n"/>
      <c r="T177" s="6" t="n"/>
      <c r="Z177" s="6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10" t="n"/>
    </row>
    <row r="178" ht="12.75" customHeight="1" s="562">
      <c r="E178" s="55" t="n"/>
      <c r="N178" s="10" t="n"/>
      <c r="O178" s="6" t="n"/>
      <c r="T178" s="6" t="n"/>
      <c r="Z178" s="6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10" t="n"/>
    </row>
    <row r="179" ht="12.75" customHeight="1" s="562">
      <c r="E179" s="55" t="n"/>
      <c r="N179" s="10" t="n"/>
      <c r="O179" s="6" t="n"/>
      <c r="T179" s="6" t="n"/>
      <c r="Z179" s="6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10" t="n"/>
    </row>
    <row r="180" ht="12.75" customHeight="1" s="562">
      <c r="E180" s="55" t="n"/>
      <c r="N180" s="10" t="n"/>
      <c r="O180" s="6" t="n"/>
      <c r="T180" s="6" t="n"/>
      <c r="Z180" s="6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10" t="n"/>
    </row>
    <row r="181" ht="12.75" customHeight="1" s="562">
      <c r="E181" s="55" t="n"/>
      <c r="N181" s="10" t="n"/>
      <c r="O181" s="6" t="n"/>
      <c r="T181" s="6" t="n"/>
      <c r="Z181" s="6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10" t="n"/>
    </row>
    <row r="182" ht="12.75" customHeight="1" s="562">
      <c r="E182" s="55" t="n"/>
      <c r="N182" s="10" t="n"/>
      <c r="O182" s="6" t="n"/>
      <c r="T182" s="6" t="n"/>
      <c r="Z182" s="6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10" t="n"/>
    </row>
    <row r="183" ht="12.75" customHeight="1" s="562">
      <c r="E183" s="55" t="n"/>
      <c r="N183" s="10" t="n"/>
      <c r="O183" s="6" t="n"/>
      <c r="T183" s="6" t="n"/>
      <c r="Z183" s="6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10" t="n"/>
    </row>
    <row r="184" ht="12.75" customHeight="1" s="562">
      <c r="E184" s="55" t="n"/>
      <c r="N184" s="10" t="n"/>
      <c r="O184" s="6" t="n"/>
      <c r="T184" s="6" t="n"/>
      <c r="Z184" s="6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10" t="n"/>
    </row>
    <row r="185" ht="12.75" customHeight="1" s="562">
      <c r="E185" s="55" t="n"/>
      <c r="N185" s="10" t="n"/>
      <c r="O185" s="6" t="n"/>
      <c r="T185" s="6" t="n"/>
      <c r="Z185" s="6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10" t="n"/>
    </row>
    <row r="186" ht="12.75" customHeight="1" s="562">
      <c r="E186" s="55" t="n"/>
      <c r="N186" s="10" t="n"/>
      <c r="O186" s="6" t="n"/>
      <c r="T186" s="6" t="n"/>
      <c r="Z186" s="6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10" t="n"/>
    </row>
    <row r="187" ht="12.75" customHeight="1" s="562">
      <c r="E187" s="55" t="n"/>
      <c r="N187" s="10" t="n"/>
      <c r="O187" s="6" t="n"/>
      <c r="T187" s="6" t="n"/>
      <c r="Z187" s="6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10" t="n"/>
    </row>
    <row r="188" ht="12.75" customHeight="1" s="562">
      <c r="E188" s="55" t="n"/>
      <c r="N188" s="10" t="n"/>
      <c r="O188" s="6" t="n"/>
      <c r="T188" s="6" t="n"/>
      <c r="Z188" s="6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10" t="n"/>
    </row>
    <row r="189" ht="12.75" customHeight="1" s="562">
      <c r="E189" s="55" t="n"/>
      <c r="N189" s="10" t="n"/>
      <c r="O189" s="6" t="n"/>
      <c r="T189" s="6" t="n"/>
      <c r="Z189" s="6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10" t="n"/>
    </row>
    <row r="190" ht="12.75" customHeight="1" s="562">
      <c r="E190" s="55" t="n"/>
      <c r="N190" s="10" t="n"/>
      <c r="O190" s="6" t="n"/>
      <c r="T190" s="6" t="n"/>
      <c r="Z190" s="6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10" t="n"/>
    </row>
    <row r="191" ht="12.75" customHeight="1" s="562">
      <c r="E191" s="55" t="n"/>
      <c r="N191" s="10" t="n"/>
      <c r="O191" s="6" t="n"/>
      <c r="T191" s="6" t="n"/>
      <c r="Z191" s="6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10" t="n"/>
    </row>
    <row r="192" ht="12.75" customHeight="1" s="562">
      <c r="E192" s="55" t="n"/>
      <c r="N192" s="10" t="n"/>
      <c r="O192" s="6" t="n"/>
      <c r="T192" s="6" t="n"/>
      <c r="Z192" s="6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10" t="n"/>
    </row>
    <row r="193" ht="12.75" customHeight="1" s="562">
      <c r="E193" s="55" t="n"/>
      <c r="N193" s="10" t="n"/>
      <c r="O193" s="6" t="n"/>
      <c r="T193" s="6" t="n"/>
      <c r="Z193" s="6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10" t="n"/>
    </row>
    <row r="194" ht="12.75" customHeight="1" s="562">
      <c r="E194" s="55" t="n"/>
      <c r="N194" s="10" t="n"/>
      <c r="O194" s="6" t="n"/>
      <c r="T194" s="6" t="n"/>
      <c r="Z194" s="6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10" t="n"/>
    </row>
    <row r="195" ht="12.75" customHeight="1" s="562">
      <c r="E195" s="55" t="n"/>
      <c r="N195" s="10" t="n"/>
      <c r="O195" s="6" t="n"/>
      <c r="T195" s="6" t="n"/>
      <c r="Z195" s="6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10" t="n"/>
    </row>
    <row r="196" ht="12.75" customHeight="1" s="562">
      <c r="E196" s="55" t="n"/>
      <c r="N196" s="10" t="n"/>
      <c r="O196" s="6" t="n"/>
      <c r="T196" s="6" t="n"/>
      <c r="Z196" s="6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10" t="n"/>
    </row>
    <row r="197" ht="12.75" customHeight="1" s="562">
      <c r="E197" s="55" t="n"/>
      <c r="N197" s="10" t="n"/>
      <c r="O197" s="6" t="n"/>
      <c r="T197" s="6" t="n"/>
      <c r="Z197" s="6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10" t="n"/>
    </row>
    <row r="198" ht="12.75" customHeight="1" s="562">
      <c r="E198" s="55" t="n"/>
      <c r="N198" s="10" t="n"/>
      <c r="O198" s="6" t="n"/>
      <c r="T198" s="6" t="n"/>
      <c r="Z198" s="6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10" t="n"/>
    </row>
    <row r="199" ht="12.75" customHeight="1" s="562">
      <c r="E199" s="55" t="n"/>
      <c r="N199" s="10" t="n"/>
      <c r="O199" s="6" t="n"/>
      <c r="T199" s="6" t="n"/>
      <c r="Z199" s="6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10" t="n"/>
    </row>
    <row r="200" ht="12.75" customHeight="1" s="562">
      <c r="E200" s="55" t="n"/>
      <c r="N200" s="10" t="n"/>
      <c r="O200" s="6" t="n"/>
      <c r="T200" s="6" t="n"/>
      <c r="Z200" s="6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n"/>
      <c r="AM200" s="10" t="n"/>
    </row>
    <row r="201" ht="12.75" customHeight="1" s="562">
      <c r="E201" s="55" t="n"/>
      <c r="N201" s="10" t="n"/>
      <c r="O201" s="6" t="n"/>
      <c r="T201" s="6" t="n"/>
      <c r="Z201" s="6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10" t="n"/>
    </row>
    <row r="202" ht="12.75" customHeight="1" s="562">
      <c r="E202" s="55" t="n"/>
      <c r="N202" s="10" t="n"/>
      <c r="O202" s="6" t="n"/>
      <c r="T202" s="6" t="n"/>
      <c r="Z202" s="6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10" t="n"/>
    </row>
    <row r="203" ht="12.75" customHeight="1" s="562">
      <c r="E203" s="55" t="n"/>
      <c r="N203" s="10" t="n"/>
      <c r="O203" s="6" t="n"/>
      <c r="T203" s="6" t="n"/>
      <c r="Z203" s="6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10" t="n"/>
    </row>
    <row r="204" ht="12.75" customHeight="1" s="562">
      <c r="E204" s="55" t="n"/>
      <c r="N204" s="10" t="n"/>
      <c r="O204" s="6" t="n"/>
      <c r="T204" s="6" t="n"/>
      <c r="Z204" s="6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10" t="n"/>
    </row>
    <row r="205" ht="12.75" customHeight="1" s="562">
      <c r="E205" s="55" t="n"/>
      <c r="N205" s="10" t="n"/>
      <c r="O205" s="6" t="n"/>
      <c r="T205" s="6" t="n"/>
      <c r="Z205" s="6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10" t="n"/>
    </row>
    <row r="206" ht="12.75" customHeight="1" s="562">
      <c r="E206" s="55" t="n"/>
      <c r="N206" s="10" t="n"/>
      <c r="O206" s="6" t="n"/>
      <c r="T206" s="6" t="n"/>
      <c r="Z206" s="6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10" t="n"/>
    </row>
    <row r="207" ht="12.75" customHeight="1" s="562">
      <c r="E207" s="55" t="n"/>
      <c r="N207" s="10" t="n"/>
      <c r="O207" s="6" t="n"/>
      <c r="T207" s="6" t="n"/>
      <c r="Z207" s="6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n"/>
      <c r="AM207" s="10" t="n"/>
    </row>
    <row r="208" ht="12.75" customHeight="1" s="562">
      <c r="E208" s="55" t="n"/>
      <c r="N208" s="10" t="n"/>
      <c r="O208" s="6" t="n"/>
      <c r="T208" s="6" t="n"/>
      <c r="Z208" s="6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10" t="n"/>
    </row>
    <row r="209" ht="12.75" customHeight="1" s="562">
      <c r="E209" s="55" t="n"/>
      <c r="N209" s="10" t="n"/>
      <c r="O209" s="6" t="n"/>
      <c r="T209" s="6" t="n"/>
      <c r="Z209" s="6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10" t="n"/>
    </row>
    <row r="210" ht="12.75" customHeight="1" s="562">
      <c r="E210" s="55" t="n"/>
      <c r="N210" s="10" t="n"/>
      <c r="O210" s="6" t="n"/>
      <c r="T210" s="6" t="n"/>
      <c r="Z210" s="6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10" t="n"/>
    </row>
    <row r="211" ht="12.75" customHeight="1" s="562">
      <c r="E211" s="55" t="n"/>
      <c r="N211" s="10" t="n"/>
      <c r="O211" s="6" t="n"/>
      <c r="T211" s="6" t="n"/>
      <c r="Z211" s="6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10" t="n"/>
    </row>
    <row r="212" ht="12.75" customHeight="1" s="562">
      <c r="E212" s="55" t="n"/>
      <c r="N212" s="10" t="n"/>
      <c r="O212" s="6" t="n"/>
      <c r="T212" s="6" t="n"/>
      <c r="Z212" s="6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n"/>
      <c r="AM212" s="10" t="n"/>
    </row>
    <row r="213" ht="12.75" customHeight="1" s="562">
      <c r="E213" s="55" t="n"/>
      <c r="N213" s="10" t="n"/>
      <c r="O213" s="6" t="n"/>
      <c r="T213" s="6" t="n"/>
      <c r="Z213" s="6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10" t="n"/>
    </row>
    <row r="214" ht="12.75" customHeight="1" s="562">
      <c r="E214" s="55" t="n"/>
      <c r="N214" s="10" t="n"/>
      <c r="O214" s="6" t="n"/>
      <c r="T214" s="6" t="n"/>
      <c r="Z214" s="6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10" t="n"/>
    </row>
    <row r="215" ht="12.75" customHeight="1" s="562">
      <c r="E215" s="55" t="n"/>
      <c r="N215" s="10" t="n"/>
      <c r="O215" s="6" t="n"/>
      <c r="T215" s="6" t="n"/>
      <c r="Z215" s="6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10" t="n"/>
    </row>
    <row r="216" ht="12.75" customHeight="1" s="562">
      <c r="E216" s="55" t="n"/>
      <c r="N216" s="10" t="n"/>
      <c r="O216" s="6" t="n"/>
      <c r="T216" s="6" t="n"/>
      <c r="Z216" s="6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10" t="n"/>
    </row>
    <row r="217" ht="12.75" customHeight="1" s="562">
      <c r="E217" s="55" t="n"/>
      <c r="N217" s="10" t="n"/>
      <c r="O217" s="6" t="n"/>
      <c r="T217" s="6" t="n"/>
      <c r="Z217" s="6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9" t="n"/>
      <c r="AM217" s="10" t="n"/>
    </row>
    <row r="218" ht="12.75" customHeight="1" s="562">
      <c r="E218" s="55" t="n"/>
      <c r="N218" s="10" t="n"/>
      <c r="O218" s="6" t="n"/>
      <c r="T218" s="6" t="n"/>
      <c r="Z218" s="6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9" t="n"/>
      <c r="AM218" s="10" t="n"/>
    </row>
    <row r="219" ht="12.75" customHeight="1" s="562">
      <c r="E219" s="55" t="n"/>
      <c r="N219" s="10" t="n"/>
      <c r="O219" s="6" t="n"/>
      <c r="T219" s="6" t="n"/>
      <c r="Z219" s="6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9" t="n"/>
      <c r="AM219" s="10" t="n"/>
    </row>
    <row r="220" ht="12.75" customHeight="1" s="562">
      <c r="E220" s="55" t="n"/>
      <c r="N220" s="10" t="n"/>
      <c r="O220" s="6" t="n"/>
      <c r="T220" s="6" t="n"/>
      <c r="Z220" s="6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10" t="n"/>
    </row>
    <row r="221" ht="12.75" customHeight="1" s="562">
      <c r="E221" s="55" t="n"/>
      <c r="N221" s="10" t="n"/>
      <c r="O221" s="6" t="n"/>
      <c r="T221" s="6" t="n"/>
      <c r="Z221" s="6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10" t="n"/>
    </row>
    <row r="222" ht="12.75" customHeight="1" s="562">
      <c r="E222" s="55" t="n"/>
      <c r="N222" s="10" t="n"/>
      <c r="O222" s="6" t="n"/>
      <c r="T222" s="6" t="n"/>
      <c r="Z222" s="6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10" t="n"/>
    </row>
    <row r="223" ht="12.75" customHeight="1" s="562">
      <c r="E223" s="55" t="n"/>
      <c r="N223" s="10" t="n"/>
      <c r="O223" s="6" t="n"/>
      <c r="T223" s="6" t="n"/>
      <c r="Z223" s="6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/>
      <c r="AM223" s="10" t="n"/>
    </row>
    <row r="224" ht="12.75" customHeight="1" s="562">
      <c r="E224" s="55" t="n"/>
      <c r="N224" s="10" t="n"/>
      <c r="O224" s="6" t="n"/>
      <c r="T224" s="6" t="n"/>
      <c r="Z224" s="6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/>
      <c r="AM224" s="10" t="n"/>
    </row>
    <row r="225" ht="12.75" customHeight="1" s="562">
      <c r="E225" s="55" t="n"/>
      <c r="N225" s="10" t="n"/>
      <c r="O225" s="6" t="n"/>
      <c r="T225" s="6" t="n"/>
      <c r="Z225" s="6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10" t="n"/>
    </row>
    <row r="226" ht="12.75" customHeight="1" s="562">
      <c r="E226" s="55" t="n"/>
      <c r="N226" s="10" t="n"/>
      <c r="O226" s="6" t="n"/>
      <c r="T226" s="6" t="n"/>
      <c r="Z226" s="6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10" t="n"/>
    </row>
    <row r="227" ht="12.75" customHeight="1" s="562">
      <c r="E227" s="55" t="n"/>
      <c r="N227" s="10" t="n"/>
      <c r="O227" s="6" t="n"/>
      <c r="T227" s="6" t="n"/>
      <c r="Z227" s="6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10" t="n"/>
    </row>
    <row r="228" ht="12.75" customHeight="1" s="562">
      <c r="E228" s="55" t="n"/>
      <c r="N228" s="10" t="n"/>
      <c r="O228" s="6" t="n"/>
      <c r="T228" s="6" t="n"/>
      <c r="Z228" s="6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10" t="n"/>
    </row>
    <row r="229" ht="12.75" customHeight="1" s="562">
      <c r="E229" s="55" t="n"/>
      <c r="N229" s="10" t="n"/>
      <c r="O229" s="6" t="n"/>
      <c r="T229" s="6" t="n"/>
      <c r="Z229" s="6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10" t="n"/>
    </row>
    <row r="230" ht="12.75" customHeight="1" s="562">
      <c r="E230" s="55" t="n"/>
      <c r="N230" s="10" t="n"/>
      <c r="O230" s="6" t="n"/>
      <c r="T230" s="6" t="n"/>
      <c r="Z230" s="6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10" t="n"/>
    </row>
    <row r="231" ht="12.75" customHeight="1" s="562">
      <c r="E231" s="55" t="n"/>
      <c r="N231" s="10" t="n"/>
      <c r="O231" s="6" t="n"/>
      <c r="T231" s="6" t="n"/>
      <c r="Z231" s="6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10" t="n"/>
    </row>
    <row r="232" ht="12.75" customHeight="1" s="562">
      <c r="E232" s="55" t="n"/>
      <c r="N232" s="10" t="n"/>
      <c r="O232" s="6" t="n"/>
      <c r="T232" s="6" t="n"/>
      <c r="Z232" s="6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10" t="n"/>
    </row>
    <row r="233" ht="12.75" customHeight="1" s="562">
      <c r="E233" s="55" t="n"/>
      <c r="N233" s="10" t="n"/>
      <c r="O233" s="6" t="n"/>
      <c r="T233" s="6" t="n"/>
      <c r="Z233" s="6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10" t="n"/>
    </row>
    <row r="234" ht="12.75" customHeight="1" s="562">
      <c r="E234" s="55" t="n"/>
      <c r="N234" s="10" t="n"/>
      <c r="O234" s="6" t="n"/>
      <c r="T234" s="6" t="n"/>
      <c r="Z234" s="6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10" t="n"/>
    </row>
    <row r="235" ht="12.75" customHeight="1" s="562">
      <c r="E235" s="55" t="n"/>
      <c r="N235" s="10" t="n"/>
      <c r="O235" s="6" t="n"/>
      <c r="T235" s="6" t="n"/>
      <c r="Z235" s="6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  <c r="AK235" s="9" t="n"/>
      <c r="AL235" s="9" t="n"/>
      <c r="AM235" s="10" t="n"/>
    </row>
    <row r="236" ht="12.75" customHeight="1" s="562">
      <c r="E236" s="55" t="n"/>
      <c r="N236" s="10" t="n"/>
      <c r="O236" s="6" t="n"/>
      <c r="T236" s="6" t="n"/>
      <c r="Z236" s="6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10" t="n"/>
    </row>
    <row r="237" ht="12.75" customHeight="1" s="562">
      <c r="E237" s="55" t="n"/>
      <c r="N237" s="10" t="n"/>
      <c r="O237" s="6" t="n"/>
      <c r="T237" s="6" t="n"/>
      <c r="Z237" s="6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10" t="n"/>
    </row>
    <row r="238" ht="12.75" customHeight="1" s="562">
      <c r="E238" s="55" t="n"/>
      <c r="N238" s="10" t="n"/>
      <c r="O238" s="6" t="n"/>
      <c r="T238" s="6" t="n"/>
      <c r="Z238" s="6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10" t="n"/>
    </row>
    <row r="239" ht="12.75" customHeight="1" s="562">
      <c r="E239" s="55" t="n"/>
      <c r="N239" s="10" t="n"/>
      <c r="O239" s="6" t="n"/>
      <c r="T239" s="6" t="n"/>
      <c r="Z239" s="6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10" t="n"/>
    </row>
    <row r="240" ht="12.75" customHeight="1" s="562">
      <c r="E240" s="55" t="n"/>
      <c r="N240" s="10" t="n"/>
      <c r="O240" s="6" t="n"/>
      <c r="T240" s="6" t="n"/>
      <c r="Z240" s="6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10" t="n"/>
    </row>
    <row r="241" ht="12.75" customHeight="1" s="562">
      <c r="E241" s="55" t="n"/>
      <c r="N241" s="10" t="n"/>
      <c r="O241" s="6" t="n"/>
      <c r="T241" s="6" t="n"/>
      <c r="Z241" s="6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10" t="n"/>
    </row>
    <row r="242" ht="12.75" customHeight="1" s="562">
      <c r="E242" s="55" t="n"/>
      <c r="N242" s="10" t="n"/>
      <c r="O242" s="6" t="n"/>
      <c r="T242" s="6" t="n"/>
      <c r="Z242" s="6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10" t="n"/>
    </row>
    <row r="243" ht="12.75" customHeight="1" s="562">
      <c r="E243" s="55" t="n"/>
      <c r="N243" s="10" t="n"/>
      <c r="O243" s="6" t="n"/>
      <c r="T243" s="6" t="n"/>
      <c r="Z243" s="6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10" t="n"/>
    </row>
    <row r="244" ht="12.75" customHeight="1" s="562">
      <c r="E244" s="55" t="n"/>
      <c r="N244" s="10" t="n"/>
      <c r="O244" s="6" t="n"/>
      <c r="T244" s="6" t="n"/>
      <c r="Z244" s="6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10" t="n"/>
    </row>
    <row r="245" ht="12.75" customHeight="1" s="562">
      <c r="E245" s="55" t="n"/>
      <c r="N245" s="10" t="n"/>
      <c r="O245" s="6" t="n"/>
      <c r="T245" s="6" t="n"/>
      <c r="Z245" s="6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10" t="n"/>
    </row>
    <row r="246" ht="12.75" customHeight="1" s="562">
      <c r="E246" s="55" t="n"/>
      <c r="N246" s="10" t="n"/>
      <c r="O246" s="6" t="n"/>
      <c r="T246" s="6" t="n"/>
      <c r="Z246" s="6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10" t="n"/>
    </row>
    <row r="247" ht="12.75" customHeight="1" s="562">
      <c r="E247" s="55" t="n"/>
      <c r="N247" s="10" t="n"/>
      <c r="O247" s="6" t="n"/>
      <c r="T247" s="6" t="n"/>
      <c r="Z247" s="6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10" t="n"/>
    </row>
    <row r="248" ht="12.75" customHeight="1" s="562">
      <c r="E248" s="55" t="n"/>
      <c r="N248" s="10" t="n"/>
      <c r="O248" s="6" t="n"/>
      <c r="T248" s="6" t="n"/>
      <c r="Z248" s="6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10" t="n"/>
    </row>
    <row r="249" ht="12.75" customHeight="1" s="562">
      <c r="E249" s="55" t="n"/>
      <c r="N249" s="10" t="n"/>
      <c r="O249" s="6" t="n"/>
      <c r="T249" s="6" t="n"/>
      <c r="Z249" s="6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10" t="n"/>
    </row>
    <row r="250" ht="12.75" customHeight="1" s="562">
      <c r="E250" s="55" t="n"/>
      <c r="N250" s="10" t="n"/>
      <c r="O250" s="6" t="n"/>
      <c r="T250" s="6" t="n"/>
      <c r="Z250" s="6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/>
      <c r="AM250" s="10" t="n"/>
    </row>
    <row r="251" ht="12.75" customHeight="1" s="562">
      <c r="E251" s="55" t="n"/>
      <c r="N251" s="10" t="n"/>
      <c r="O251" s="6" t="n"/>
      <c r="T251" s="6" t="n"/>
      <c r="Z251" s="6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10" t="n"/>
    </row>
    <row r="252" ht="12.75" customHeight="1" s="562">
      <c r="E252" s="55" t="n"/>
      <c r="N252" s="10" t="n"/>
      <c r="O252" s="6" t="n"/>
      <c r="T252" s="6" t="n"/>
      <c r="Z252" s="6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10" t="n"/>
    </row>
    <row r="253" ht="12.75" customHeight="1" s="562">
      <c r="E253" s="55" t="n"/>
      <c r="N253" s="10" t="n"/>
      <c r="O253" s="6" t="n"/>
      <c r="T253" s="6" t="n"/>
      <c r="Z253" s="6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10" t="n"/>
    </row>
    <row r="254" ht="12.75" customHeight="1" s="562">
      <c r="E254" s="55" t="n"/>
      <c r="N254" s="10" t="n"/>
      <c r="O254" s="6" t="n"/>
      <c r="T254" s="6" t="n"/>
      <c r="Z254" s="6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10" t="n"/>
    </row>
    <row r="255" ht="12.75" customHeight="1" s="562">
      <c r="E255" s="55" t="n"/>
      <c r="N255" s="10" t="n"/>
      <c r="O255" s="6" t="n"/>
      <c r="T255" s="6" t="n"/>
      <c r="Z255" s="6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10" t="n"/>
    </row>
    <row r="256" ht="12.75" customHeight="1" s="562">
      <c r="E256" s="55" t="n"/>
      <c r="N256" s="10" t="n"/>
      <c r="O256" s="6" t="n"/>
      <c r="T256" s="6" t="n"/>
      <c r="Z256" s="6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10" t="n"/>
    </row>
    <row r="257" ht="12.75" customHeight="1" s="562">
      <c r="E257" s="55" t="n"/>
      <c r="N257" s="10" t="n"/>
      <c r="O257" s="6" t="n"/>
      <c r="T257" s="6" t="n"/>
      <c r="Z257" s="6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10" t="n"/>
    </row>
    <row r="258" ht="12.75" customHeight="1" s="562">
      <c r="E258" s="55" t="n"/>
      <c r="N258" s="10" t="n"/>
      <c r="O258" s="6" t="n"/>
      <c r="T258" s="6" t="n"/>
      <c r="Z258" s="6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10" t="n"/>
    </row>
    <row r="259" ht="12.75" customHeight="1" s="562">
      <c r="E259" s="55" t="n"/>
      <c r="N259" s="10" t="n"/>
      <c r="O259" s="6" t="n"/>
      <c r="T259" s="6" t="n"/>
      <c r="Z259" s="6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10" t="n"/>
    </row>
    <row r="260" ht="12.75" customHeight="1" s="562">
      <c r="E260" s="55" t="n"/>
      <c r="N260" s="10" t="n"/>
      <c r="O260" s="6" t="n"/>
      <c r="T260" s="6" t="n"/>
      <c r="Z260" s="6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10" t="n"/>
    </row>
    <row r="261" ht="12.75" customHeight="1" s="562">
      <c r="E261" s="55" t="n"/>
      <c r="N261" s="10" t="n"/>
      <c r="O261" s="6" t="n"/>
      <c r="T261" s="6" t="n"/>
      <c r="Z261" s="6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10" t="n"/>
    </row>
    <row r="262" ht="12.75" customHeight="1" s="562">
      <c r="E262" s="55" t="n"/>
      <c r="N262" s="10" t="n"/>
      <c r="O262" s="6" t="n"/>
      <c r="T262" s="6" t="n"/>
      <c r="Z262" s="6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10" t="n"/>
    </row>
    <row r="263" ht="12.75" customHeight="1" s="562">
      <c r="E263" s="55" t="n"/>
      <c r="N263" s="10" t="n"/>
      <c r="O263" s="6" t="n"/>
      <c r="T263" s="6" t="n"/>
      <c r="Z263" s="6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10" t="n"/>
    </row>
    <row r="264" ht="12.75" customHeight="1" s="562">
      <c r="E264" s="55" t="n"/>
      <c r="N264" s="10" t="n"/>
      <c r="O264" s="6" t="n"/>
      <c r="T264" s="6" t="n"/>
      <c r="Z264" s="6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10" t="n"/>
    </row>
    <row r="265" ht="12.75" customHeight="1" s="562">
      <c r="E265" s="55" t="n"/>
      <c r="N265" s="10" t="n"/>
      <c r="O265" s="6" t="n"/>
      <c r="T265" s="6" t="n"/>
      <c r="Z265" s="6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10" t="n"/>
    </row>
    <row r="266" ht="12.75" customHeight="1" s="562">
      <c r="E266" s="55" t="n"/>
      <c r="N266" s="10" t="n"/>
      <c r="O266" s="6" t="n"/>
      <c r="T266" s="6" t="n"/>
      <c r="Z266" s="6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10" t="n"/>
    </row>
    <row r="267" ht="12.75" customHeight="1" s="562">
      <c r="E267" s="55" t="n"/>
      <c r="N267" s="10" t="n"/>
      <c r="O267" s="6" t="n"/>
      <c r="T267" s="6" t="n"/>
      <c r="Z267" s="6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10" t="n"/>
    </row>
    <row r="268" ht="12.75" customHeight="1" s="562">
      <c r="E268" s="55" t="n"/>
      <c r="N268" s="10" t="n"/>
      <c r="O268" s="6" t="n"/>
      <c r="T268" s="6" t="n"/>
      <c r="Z268" s="6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10" t="n"/>
    </row>
    <row r="269" ht="12.75" customHeight="1" s="562">
      <c r="E269" s="55" t="n"/>
      <c r="N269" s="10" t="n"/>
      <c r="O269" s="6" t="n"/>
      <c r="T269" s="6" t="n"/>
      <c r="Z269" s="6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10" t="n"/>
    </row>
    <row r="270" ht="12.75" customHeight="1" s="562">
      <c r="E270" s="55" t="n"/>
      <c r="N270" s="10" t="n"/>
      <c r="O270" s="6" t="n"/>
      <c r="T270" s="6" t="n"/>
      <c r="Z270" s="6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10" t="n"/>
    </row>
    <row r="271" ht="12.75" customHeight="1" s="562">
      <c r="E271" s="55" t="n"/>
      <c r="N271" s="10" t="n"/>
      <c r="O271" s="6" t="n"/>
      <c r="T271" s="6" t="n"/>
      <c r="Z271" s="6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10" t="n"/>
    </row>
    <row r="272" ht="12.75" customHeight="1" s="562">
      <c r="E272" s="55" t="n"/>
      <c r="N272" s="10" t="n"/>
      <c r="O272" s="6" t="n"/>
      <c r="T272" s="6" t="n"/>
      <c r="Z272" s="6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10" t="n"/>
    </row>
    <row r="273" ht="12.75" customHeight="1" s="562">
      <c r="E273" s="55" t="n"/>
      <c r="N273" s="10" t="n"/>
      <c r="O273" s="6" t="n"/>
      <c r="T273" s="6" t="n"/>
      <c r="Z273" s="6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10" t="n"/>
    </row>
    <row r="274" ht="12.75" customHeight="1" s="562">
      <c r="E274" s="55" t="n"/>
      <c r="N274" s="10" t="n"/>
      <c r="O274" s="6" t="n"/>
      <c r="T274" s="6" t="n"/>
      <c r="Z274" s="6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10" t="n"/>
    </row>
    <row r="275" ht="12.75" customHeight="1" s="562">
      <c r="E275" s="55" t="n"/>
      <c r="N275" s="10" t="n"/>
      <c r="O275" s="6" t="n"/>
      <c r="T275" s="6" t="n"/>
      <c r="Z275" s="6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10" t="n"/>
    </row>
    <row r="276" ht="12.75" customHeight="1" s="562">
      <c r="E276" s="55" t="n"/>
      <c r="N276" s="10" t="n"/>
      <c r="O276" s="6" t="n"/>
      <c r="T276" s="6" t="n"/>
      <c r="Z276" s="6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10" t="n"/>
    </row>
    <row r="277" ht="12.75" customHeight="1" s="562">
      <c r="E277" s="55" t="n"/>
      <c r="N277" s="10" t="n"/>
      <c r="O277" s="6" t="n"/>
      <c r="T277" s="6" t="n"/>
      <c r="Z277" s="6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10" t="n"/>
    </row>
    <row r="278" ht="12.75" customHeight="1" s="562">
      <c r="E278" s="55" t="n"/>
      <c r="N278" s="10" t="n"/>
      <c r="O278" s="6" t="n"/>
      <c r="T278" s="6" t="n"/>
      <c r="Z278" s="6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10" t="n"/>
    </row>
    <row r="279" ht="12.75" customHeight="1" s="562">
      <c r="E279" s="55" t="n"/>
      <c r="N279" s="10" t="n"/>
      <c r="O279" s="6" t="n"/>
      <c r="T279" s="6" t="n"/>
      <c r="Z279" s="6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10" t="n"/>
    </row>
    <row r="280" ht="12.75" customHeight="1" s="562">
      <c r="E280" s="55" t="n"/>
      <c r="N280" s="10" t="n"/>
      <c r="O280" s="6" t="n"/>
      <c r="T280" s="6" t="n"/>
      <c r="Z280" s="6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10" t="n"/>
    </row>
    <row r="281" ht="12.75" customHeight="1" s="562">
      <c r="E281" s="55" t="n"/>
      <c r="N281" s="10" t="n"/>
      <c r="O281" s="6" t="n"/>
      <c r="T281" s="6" t="n"/>
      <c r="Z281" s="6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  <c r="AK281" s="9" t="n"/>
      <c r="AL281" s="9" t="n"/>
      <c r="AM281" s="10" t="n"/>
    </row>
    <row r="282" ht="12.75" customHeight="1" s="562">
      <c r="E282" s="55" t="n"/>
      <c r="N282" s="10" t="n"/>
      <c r="O282" s="6" t="n"/>
      <c r="T282" s="6" t="n"/>
      <c r="Z282" s="6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10" t="n"/>
    </row>
    <row r="283" ht="12.75" customHeight="1" s="562">
      <c r="E283" s="55" t="n"/>
      <c r="N283" s="10" t="n"/>
      <c r="O283" s="6" t="n"/>
      <c r="T283" s="6" t="n"/>
      <c r="Z283" s="6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10" t="n"/>
    </row>
    <row r="284" ht="12.75" customHeight="1" s="562">
      <c r="E284" s="55" t="n"/>
      <c r="N284" s="10" t="n"/>
      <c r="O284" s="6" t="n"/>
      <c r="T284" s="6" t="n"/>
      <c r="Z284" s="6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10" t="n"/>
    </row>
    <row r="285" ht="12.75" customHeight="1" s="562">
      <c r="E285" s="55" t="n"/>
      <c r="N285" s="10" t="n"/>
      <c r="O285" s="6" t="n"/>
      <c r="T285" s="6" t="n"/>
      <c r="Z285" s="6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10" t="n"/>
    </row>
    <row r="286" ht="12.75" customHeight="1" s="562">
      <c r="E286" s="55" t="n"/>
      <c r="N286" s="10" t="n"/>
      <c r="O286" s="6" t="n"/>
      <c r="T286" s="6" t="n"/>
      <c r="Z286" s="6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10" t="n"/>
    </row>
    <row r="287" ht="12.75" customHeight="1" s="562">
      <c r="E287" s="55" t="n"/>
      <c r="N287" s="10" t="n"/>
      <c r="O287" s="6" t="n"/>
      <c r="T287" s="6" t="n"/>
      <c r="Z287" s="6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10" t="n"/>
    </row>
    <row r="288" ht="12.75" customHeight="1" s="562">
      <c r="E288" s="55" t="n"/>
      <c r="N288" s="10" t="n"/>
      <c r="O288" s="6" t="n"/>
      <c r="T288" s="6" t="n"/>
      <c r="Z288" s="6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/>
      <c r="AM288" s="10" t="n"/>
    </row>
    <row r="289" ht="12.75" customHeight="1" s="562">
      <c r="E289" s="55" t="n"/>
      <c r="N289" s="10" t="n"/>
      <c r="O289" s="6" t="n"/>
      <c r="T289" s="6" t="n"/>
      <c r="Z289" s="6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10" t="n"/>
    </row>
    <row r="290" ht="12.75" customHeight="1" s="562">
      <c r="E290" s="55" t="n"/>
      <c r="N290" s="10" t="n"/>
      <c r="O290" s="6" t="n"/>
      <c r="T290" s="6" t="n"/>
      <c r="Z290" s="6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10" t="n"/>
    </row>
    <row r="291" ht="12.75" customHeight="1" s="562">
      <c r="E291" s="55" t="n"/>
      <c r="N291" s="10" t="n"/>
      <c r="O291" s="6" t="n"/>
      <c r="T291" s="6" t="n"/>
      <c r="Z291" s="6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10" t="n"/>
    </row>
    <row r="292" ht="12.75" customHeight="1" s="562">
      <c r="E292" s="55" t="n"/>
      <c r="N292" s="10" t="n"/>
      <c r="O292" s="6" t="n"/>
      <c r="T292" s="6" t="n"/>
      <c r="Z292" s="6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10" t="n"/>
    </row>
    <row r="293" ht="12.75" customHeight="1" s="562">
      <c r="E293" s="55" t="n"/>
      <c r="N293" s="10" t="n"/>
      <c r="O293" s="6" t="n"/>
      <c r="T293" s="6" t="n"/>
      <c r="Z293" s="6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10" t="n"/>
    </row>
    <row r="294" ht="12.75" customHeight="1" s="562">
      <c r="E294" s="55" t="n"/>
      <c r="N294" s="10" t="n"/>
      <c r="O294" s="6" t="n"/>
      <c r="T294" s="6" t="n"/>
      <c r="Z294" s="6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10" t="n"/>
    </row>
    <row r="295" ht="12.75" customHeight="1" s="562">
      <c r="E295" s="55" t="n"/>
      <c r="N295" s="10" t="n"/>
      <c r="O295" s="6" t="n"/>
      <c r="T295" s="6" t="n"/>
      <c r="Z295" s="6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10" t="n"/>
    </row>
    <row r="296" ht="12.75" customHeight="1" s="562">
      <c r="E296" s="55" t="n"/>
      <c r="N296" s="10" t="n"/>
      <c r="O296" s="6" t="n"/>
      <c r="T296" s="6" t="n"/>
      <c r="Z296" s="6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10" t="n"/>
    </row>
    <row r="297" ht="12.75" customHeight="1" s="562">
      <c r="E297" s="55" t="n"/>
      <c r="N297" s="10" t="n"/>
      <c r="O297" s="6" t="n"/>
      <c r="T297" s="6" t="n"/>
      <c r="Z297" s="6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10" t="n"/>
    </row>
    <row r="298" ht="12.75" customHeight="1" s="562">
      <c r="E298" s="55" t="n"/>
      <c r="N298" s="10" t="n"/>
      <c r="O298" s="6" t="n"/>
      <c r="T298" s="6" t="n"/>
      <c r="Z298" s="6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10" t="n"/>
    </row>
    <row r="299" ht="12.75" customHeight="1" s="562">
      <c r="E299" s="55" t="n"/>
      <c r="N299" s="10" t="n"/>
      <c r="O299" s="6" t="n"/>
      <c r="T299" s="6" t="n"/>
      <c r="Z299" s="6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10" t="n"/>
    </row>
    <row r="300" ht="12.75" customHeight="1" s="562">
      <c r="E300" s="55" t="n"/>
      <c r="N300" s="10" t="n"/>
      <c r="O300" s="6" t="n"/>
      <c r="T300" s="6" t="n"/>
      <c r="Z300" s="6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9" t="n"/>
      <c r="AM300" s="10" t="n"/>
    </row>
    <row r="301" ht="12.75" customHeight="1" s="562">
      <c r="E301" s="55" t="n"/>
      <c r="N301" s="10" t="n"/>
      <c r="O301" s="6" t="n"/>
      <c r="T301" s="6" t="n"/>
      <c r="Z301" s="6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10" t="n"/>
    </row>
    <row r="302" ht="12.75" customHeight="1" s="562">
      <c r="E302" s="55" t="n"/>
      <c r="N302" s="10" t="n"/>
      <c r="O302" s="6" t="n"/>
      <c r="T302" s="6" t="n"/>
      <c r="Z302" s="6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10" t="n"/>
    </row>
    <row r="303" ht="12.75" customHeight="1" s="562">
      <c r="E303" s="55" t="n"/>
      <c r="N303" s="10" t="n"/>
      <c r="O303" s="6" t="n"/>
      <c r="T303" s="6" t="n"/>
      <c r="Z303" s="6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10" t="n"/>
    </row>
    <row r="304" ht="12.75" customHeight="1" s="562">
      <c r="E304" s="55" t="n"/>
      <c r="N304" s="10" t="n"/>
      <c r="O304" s="6" t="n"/>
      <c r="T304" s="6" t="n"/>
      <c r="Z304" s="6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10" t="n"/>
    </row>
    <row r="305" ht="12.75" customHeight="1" s="562">
      <c r="E305" s="55" t="n"/>
      <c r="N305" s="10" t="n"/>
      <c r="O305" s="6" t="n"/>
      <c r="T305" s="6" t="n"/>
      <c r="Z305" s="6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10" t="n"/>
    </row>
    <row r="306" ht="12.75" customHeight="1" s="562">
      <c r="E306" s="55" t="n"/>
      <c r="N306" s="10" t="n"/>
      <c r="O306" s="6" t="n"/>
      <c r="T306" s="6" t="n"/>
      <c r="Z306" s="6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10" t="n"/>
    </row>
    <row r="307" ht="12.75" customHeight="1" s="562">
      <c r="E307" s="55" t="n"/>
      <c r="N307" s="10" t="n"/>
      <c r="O307" s="6" t="n"/>
      <c r="T307" s="6" t="n"/>
      <c r="Z307" s="6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10" t="n"/>
    </row>
    <row r="308" ht="12.75" customHeight="1" s="562">
      <c r="E308" s="55" t="n"/>
      <c r="N308" s="10" t="n"/>
      <c r="O308" s="6" t="n"/>
      <c r="T308" s="6" t="n"/>
      <c r="Z308" s="6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10" t="n"/>
    </row>
    <row r="309" ht="12.75" customHeight="1" s="562">
      <c r="E309" s="55" t="n"/>
      <c r="N309" s="10" t="n"/>
      <c r="O309" s="6" t="n"/>
      <c r="T309" s="6" t="n"/>
      <c r="Z309" s="6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10" t="n"/>
    </row>
    <row r="310" ht="12.75" customHeight="1" s="562">
      <c r="E310" s="55" t="n"/>
      <c r="N310" s="10" t="n"/>
      <c r="O310" s="6" t="n"/>
      <c r="T310" s="6" t="n"/>
      <c r="Z310" s="6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9" t="n"/>
      <c r="AM310" s="10" t="n"/>
    </row>
    <row r="311" ht="12.75" customHeight="1" s="562">
      <c r="E311" s="55" t="n"/>
      <c r="N311" s="10" t="n"/>
      <c r="O311" s="6" t="n"/>
      <c r="T311" s="6" t="n"/>
      <c r="Z311" s="6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10" t="n"/>
    </row>
    <row r="312" ht="12.75" customHeight="1" s="562">
      <c r="E312" s="55" t="n"/>
      <c r="N312" s="10" t="n"/>
      <c r="O312" s="6" t="n"/>
      <c r="T312" s="6" t="n"/>
      <c r="Z312" s="6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10" t="n"/>
    </row>
    <row r="313" ht="12.75" customHeight="1" s="562">
      <c r="E313" s="55" t="n"/>
      <c r="N313" s="10" t="n"/>
      <c r="O313" s="6" t="n"/>
      <c r="T313" s="6" t="n"/>
      <c r="Z313" s="6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10" t="n"/>
    </row>
    <row r="314" ht="12.75" customHeight="1" s="562">
      <c r="E314" s="55" t="n"/>
      <c r="N314" s="10" t="n"/>
      <c r="O314" s="6" t="n"/>
      <c r="T314" s="6" t="n"/>
      <c r="Z314" s="6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  <c r="AK314" s="9" t="n"/>
      <c r="AL314" s="9" t="n"/>
      <c r="AM314" s="10" t="n"/>
    </row>
    <row r="315" ht="12.75" customHeight="1" s="562">
      <c r="E315" s="55" t="n"/>
      <c r="N315" s="10" t="n"/>
      <c r="O315" s="6" t="n"/>
      <c r="T315" s="6" t="n"/>
      <c r="Z315" s="6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  <c r="AK315" s="9" t="n"/>
      <c r="AL315" s="9" t="n"/>
      <c r="AM315" s="10" t="n"/>
    </row>
    <row r="316" ht="12.75" customHeight="1" s="562">
      <c r="E316" s="55" t="n"/>
      <c r="N316" s="10" t="n"/>
      <c r="O316" s="6" t="n"/>
      <c r="T316" s="6" t="n"/>
      <c r="Z316" s="6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10" t="n"/>
    </row>
    <row r="317" ht="12.75" customHeight="1" s="562">
      <c r="E317" s="55" t="n"/>
      <c r="N317" s="10" t="n"/>
      <c r="O317" s="6" t="n"/>
      <c r="T317" s="6" t="n"/>
      <c r="Z317" s="6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  <c r="AK317" s="9" t="n"/>
      <c r="AL317" s="9" t="n"/>
      <c r="AM317" s="10" t="n"/>
    </row>
    <row r="318" ht="12.75" customHeight="1" s="562">
      <c r="E318" s="55" t="n"/>
      <c r="N318" s="10" t="n"/>
      <c r="O318" s="6" t="n"/>
      <c r="T318" s="6" t="n"/>
      <c r="Z318" s="6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  <c r="AK318" s="9" t="n"/>
      <c r="AL318" s="9" t="n"/>
      <c r="AM318" s="10" t="n"/>
    </row>
    <row r="319" ht="12.75" customHeight="1" s="562">
      <c r="E319" s="55" t="n"/>
      <c r="N319" s="10" t="n"/>
      <c r="O319" s="6" t="n"/>
      <c r="T319" s="6" t="n"/>
      <c r="Z319" s="6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  <c r="AK319" s="9" t="n"/>
      <c r="AL319" s="9" t="n"/>
      <c r="AM319" s="10" t="n"/>
    </row>
    <row r="320" ht="12.75" customHeight="1" s="562">
      <c r="E320" s="55" t="n"/>
      <c r="N320" s="10" t="n"/>
      <c r="O320" s="6" t="n"/>
      <c r="T320" s="6" t="n"/>
      <c r="Z320" s="6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  <c r="AK320" s="9" t="n"/>
      <c r="AL320" s="9" t="n"/>
      <c r="AM320" s="10" t="n"/>
    </row>
    <row r="321" ht="12.75" customHeight="1" s="562">
      <c r="E321" s="55" t="n"/>
      <c r="N321" s="10" t="n"/>
      <c r="O321" s="6" t="n"/>
      <c r="T321" s="6" t="n"/>
      <c r="Z321" s="6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  <c r="AK321" s="9" t="n"/>
      <c r="AL321" s="9" t="n"/>
      <c r="AM321" s="10" t="n"/>
    </row>
    <row r="322" ht="12.75" customHeight="1" s="562">
      <c r="E322" s="55" t="n"/>
      <c r="N322" s="10" t="n"/>
      <c r="O322" s="6" t="n"/>
      <c r="T322" s="6" t="n"/>
      <c r="Z322" s="6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  <c r="AK322" s="9" t="n"/>
      <c r="AL322" s="9" t="n"/>
      <c r="AM322" s="10" t="n"/>
    </row>
    <row r="323" ht="12.75" customHeight="1" s="562">
      <c r="E323" s="55" t="n"/>
      <c r="N323" s="10" t="n"/>
      <c r="O323" s="6" t="n"/>
      <c r="T323" s="6" t="n"/>
      <c r="Z323" s="6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  <c r="AK323" s="9" t="n"/>
      <c r="AL323" s="9" t="n"/>
      <c r="AM323" s="10" t="n"/>
    </row>
    <row r="324" ht="12.75" customHeight="1" s="562">
      <c r="E324" s="55" t="n"/>
      <c r="N324" s="10" t="n"/>
      <c r="O324" s="6" t="n"/>
      <c r="T324" s="6" t="n"/>
      <c r="Z324" s="6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  <c r="AK324" s="9" t="n"/>
      <c r="AL324" s="9" t="n"/>
      <c r="AM324" s="10" t="n"/>
    </row>
    <row r="325" ht="12.75" customHeight="1" s="562">
      <c r="E325" s="55" t="n"/>
      <c r="N325" s="10" t="n"/>
      <c r="O325" s="6" t="n"/>
      <c r="T325" s="6" t="n"/>
      <c r="Z325" s="6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  <c r="AK325" s="9" t="n"/>
      <c r="AL325" s="9" t="n"/>
      <c r="AM325" s="10" t="n"/>
    </row>
    <row r="326" ht="12.75" customHeight="1" s="562">
      <c r="E326" s="55" t="n"/>
      <c r="N326" s="10" t="n"/>
      <c r="O326" s="6" t="n"/>
      <c r="T326" s="6" t="n"/>
      <c r="Z326" s="6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  <c r="AK326" s="9" t="n"/>
      <c r="AL326" s="9" t="n"/>
      <c r="AM326" s="10" t="n"/>
    </row>
    <row r="327" ht="12.75" customHeight="1" s="562">
      <c r="E327" s="55" t="n"/>
      <c r="N327" s="10" t="n"/>
      <c r="O327" s="6" t="n"/>
      <c r="T327" s="6" t="n"/>
      <c r="Z327" s="6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  <c r="AK327" s="9" t="n"/>
      <c r="AL327" s="9" t="n"/>
      <c r="AM327" s="10" t="n"/>
    </row>
    <row r="328" ht="12.75" customHeight="1" s="562">
      <c r="E328" s="55" t="n"/>
      <c r="N328" s="10" t="n"/>
      <c r="O328" s="6" t="n"/>
      <c r="T328" s="6" t="n"/>
      <c r="Z328" s="6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  <c r="AK328" s="9" t="n"/>
      <c r="AL328" s="9" t="n"/>
      <c r="AM328" s="10" t="n"/>
    </row>
    <row r="329" ht="12.75" customHeight="1" s="562">
      <c r="E329" s="55" t="n"/>
      <c r="N329" s="10" t="n"/>
      <c r="O329" s="6" t="n"/>
      <c r="T329" s="6" t="n"/>
      <c r="Z329" s="6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  <c r="AK329" s="9" t="n"/>
      <c r="AL329" s="9" t="n"/>
      <c r="AM329" s="10" t="n"/>
    </row>
    <row r="330" ht="12.75" customHeight="1" s="562">
      <c r="E330" s="55" t="n"/>
      <c r="N330" s="10" t="n"/>
      <c r="O330" s="6" t="n"/>
      <c r="T330" s="6" t="n"/>
      <c r="Z330" s="6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  <c r="AK330" s="9" t="n"/>
      <c r="AL330" s="9" t="n"/>
      <c r="AM330" s="10" t="n"/>
    </row>
    <row r="331" ht="12.75" customHeight="1" s="562">
      <c r="E331" s="55" t="n"/>
      <c r="N331" s="10" t="n"/>
      <c r="O331" s="6" t="n"/>
      <c r="T331" s="6" t="n"/>
      <c r="Z331" s="6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  <c r="AK331" s="9" t="n"/>
      <c r="AL331" s="9" t="n"/>
      <c r="AM331" s="10" t="n"/>
    </row>
    <row r="332" ht="12.75" customHeight="1" s="562">
      <c r="E332" s="55" t="n"/>
      <c r="N332" s="10" t="n"/>
      <c r="O332" s="6" t="n"/>
      <c r="T332" s="6" t="n"/>
      <c r="Z332" s="6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  <c r="AK332" s="9" t="n"/>
      <c r="AL332" s="9" t="n"/>
      <c r="AM332" s="10" t="n"/>
    </row>
    <row r="333" ht="12.75" customHeight="1" s="562">
      <c r="E333" s="55" t="n"/>
      <c r="N333" s="10" t="n"/>
      <c r="O333" s="6" t="n"/>
      <c r="T333" s="6" t="n"/>
      <c r="Z333" s="6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  <c r="AK333" s="9" t="n"/>
      <c r="AL333" s="9" t="n"/>
      <c r="AM333" s="10" t="n"/>
    </row>
    <row r="334" ht="12.75" customHeight="1" s="562">
      <c r="E334" s="55" t="n"/>
      <c r="N334" s="10" t="n"/>
      <c r="O334" s="6" t="n"/>
      <c r="T334" s="6" t="n"/>
      <c r="Z334" s="6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  <c r="AK334" s="9" t="n"/>
      <c r="AL334" s="9" t="n"/>
      <c r="AM334" s="10" t="n"/>
    </row>
    <row r="335" ht="12.75" customHeight="1" s="562">
      <c r="E335" s="55" t="n"/>
      <c r="N335" s="10" t="n"/>
      <c r="O335" s="6" t="n"/>
      <c r="T335" s="6" t="n"/>
      <c r="Z335" s="6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  <c r="AK335" s="9" t="n"/>
      <c r="AL335" s="9" t="n"/>
      <c r="AM335" s="10" t="n"/>
    </row>
    <row r="336" ht="12.75" customHeight="1" s="562">
      <c r="E336" s="55" t="n"/>
      <c r="N336" s="10" t="n"/>
      <c r="O336" s="6" t="n"/>
      <c r="T336" s="6" t="n"/>
      <c r="Z336" s="6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  <c r="AK336" s="9" t="n"/>
      <c r="AL336" s="9" t="n"/>
      <c r="AM336" s="10" t="n"/>
    </row>
    <row r="337" ht="12.75" customHeight="1" s="562">
      <c r="E337" s="55" t="n"/>
      <c r="N337" s="10" t="n"/>
      <c r="O337" s="6" t="n"/>
      <c r="T337" s="6" t="n"/>
      <c r="Z337" s="6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  <c r="AK337" s="9" t="n"/>
      <c r="AL337" s="9" t="n"/>
      <c r="AM337" s="10" t="n"/>
    </row>
    <row r="338" ht="12.75" customHeight="1" s="562">
      <c r="E338" s="55" t="n"/>
      <c r="N338" s="10" t="n"/>
      <c r="O338" s="6" t="n"/>
      <c r="T338" s="6" t="n"/>
      <c r="Z338" s="6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  <c r="AK338" s="9" t="n"/>
      <c r="AL338" s="9" t="n"/>
      <c r="AM338" s="10" t="n"/>
    </row>
    <row r="339" ht="12.75" customHeight="1" s="562">
      <c r="E339" s="55" t="n"/>
      <c r="N339" s="10" t="n"/>
      <c r="O339" s="6" t="n"/>
      <c r="T339" s="6" t="n"/>
      <c r="Z339" s="6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  <c r="AK339" s="9" t="n"/>
      <c r="AL339" s="9" t="n"/>
      <c r="AM339" s="10" t="n"/>
    </row>
    <row r="340" ht="12.75" customHeight="1" s="562">
      <c r="E340" s="55" t="n"/>
      <c r="N340" s="10" t="n"/>
      <c r="O340" s="6" t="n"/>
      <c r="T340" s="6" t="n"/>
      <c r="Z340" s="6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  <c r="AK340" s="9" t="n"/>
      <c r="AL340" s="9" t="n"/>
      <c r="AM340" s="10" t="n"/>
    </row>
    <row r="341" ht="12.75" customHeight="1" s="562">
      <c r="E341" s="55" t="n"/>
      <c r="N341" s="10" t="n"/>
      <c r="O341" s="6" t="n"/>
      <c r="T341" s="6" t="n"/>
      <c r="Z341" s="6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  <c r="AK341" s="9" t="n"/>
      <c r="AL341" s="9" t="n"/>
      <c r="AM341" s="10" t="n"/>
    </row>
    <row r="342" ht="12.75" customHeight="1" s="562">
      <c r="E342" s="55" t="n"/>
      <c r="N342" s="10" t="n"/>
      <c r="O342" s="6" t="n"/>
      <c r="T342" s="6" t="n"/>
      <c r="Z342" s="6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  <c r="AK342" s="9" t="n"/>
      <c r="AL342" s="9" t="n"/>
      <c r="AM342" s="10" t="n"/>
    </row>
    <row r="343" ht="12.75" customHeight="1" s="562">
      <c r="E343" s="55" t="n"/>
      <c r="N343" s="10" t="n"/>
      <c r="O343" s="6" t="n"/>
      <c r="T343" s="6" t="n"/>
      <c r="Z343" s="6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  <c r="AK343" s="9" t="n"/>
      <c r="AL343" s="9" t="n"/>
      <c r="AM343" s="10" t="n"/>
    </row>
    <row r="344" ht="12.75" customHeight="1" s="562">
      <c r="E344" s="55" t="n"/>
      <c r="N344" s="10" t="n"/>
      <c r="O344" s="6" t="n"/>
      <c r="T344" s="6" t="n"/>
      <c r="Z344" s="6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  <c r="AK344" s="9" t="n"/>
      <c r="AL344" s="9" t="n"/>
      <c r="AM344" s="10" t="n"/>
    </row>
    <row r="345" ht="12.75" customHeight="1" s="562">
      <c r="E345" s="55" t="n"/>
      <c r="N345" s="10" t="n"/>
      <c r="O345" s="6" t="n"/>
      <c r="T345" s="6" t="n"/>
      <c r="Z345" s="6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  <c r="AK345" s="9" t="n"/>
      <c r="AL345" s="9" t="n"/>
      <c r="AM345" s="10" t="n"/>
    </row>
    <row r="346" ht="12.75" customHeight="1" s="562">
      <c r="E346" s="55" t="n"/>
      <c r="N346" s="10" t="n"/>
      <c r="O346" s="6" t="n"/>
      <c r="T346" s="6" t="n"/>
      <c r="Z346" s="6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  <c r="AK346" s="9" t="n"/>
      <c r="AL346" s="9" t="n"/>
      <c r="AM346" s="10" t="n"/>
    </row>
    <row r="347" ht="12.75" customHeight="1" s="562">
      <c r="E347" s="55" t="n"/>
      <c r="N347" s="10" t="n"/>
      <c r="O347" s="6" t="n"/>
      <c r="T347" s="6" t="n"/>
      <c r="Z347" s="6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  <c r="AK347" s="9" t="n"/>
      <c r="AL347" s="9" t="n"/>
      <c r="AM347" s="10" t="n"/>
    </row>
    <row r="348" ht="12.75" customHeight="1" s="562">
      <c r="E348" s="55" t="n"/>
      <c r="N348" s="10" t="n"/>
      <c r="O348" s="6" t="n"/>
      <c r="T348" s="6" t="n"/>
      <c r="Z348" s="6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  <c r="AK348" s="9" t="n"/>
      <c r="AL348" s="9" t="n"/>
      <c r="AM348" s="10" t="n"/>
    </row>
    <row r="349" ht="12.75" customHeight="1" s="562">
      <c r="E349" s="55" t="n"/>
      <c r="N349" s="10" t="n"/>
      <c r="O349" s="6" t="n"/>
      <c r="T349" s="6" t="n"/>
      <c r="Z349" s="6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  <c r="AK349" s="9" t="n"/>
      <c r="AL349" s="9" t="n"/>
      <c r="AM349" s="10" t="n"/>
    </row>
    <row r="350" ht="12.75" customHeight="1" s="562">
      <c r="E350" s="55" t="n"/>
      <c r="N350" s="10" t="n"/>
      <c r="O350" s="6" t="n"/>
      <c r="T350" s="6" t="n"/>
      <c r="Z350" s="6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  <c r="AK350" s="9" t="n"/>
      <c r="AL350" s="9" t="n"/>
      <c r="AM350" s="10" t="n"/>
    </row>
    <row r="351" ht="12.75" customHeight="1" s="562">
      <c r="E351" s="55" t="n"/>
      <c r="N351" s="10" t="n"/>
      <c r="O351" s="6" t="n"/>
      <c r="T351" s="6" t="n"/>
      <c r="Z351" s="6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  <c r="AK351" s="9" t="n"/>
      <c r="AL351" s="9" t="n"/>
      <c r="AM351" s="10" t="n"/>
    </row>
    <row r="352" ht="12.75" customHeight="1" s="562">
      <c r="E352" s="55" t="n"/>
      <c r="N352" s="10" t="n"/>
      <c r="O352" s="6" t="n"/>
      <c r="T352" s="6" t="n"/>
      <c r="Z352" s="6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  <c r="AK352" s="9" t="n"/>
      <c r="AL352" s="9" t="n"/>
      <c r="AM352" s="10" t="n"/>
    </row>
    <row r="353" ht="12.75" customHeight="1" s="562">
      <c r="E353" s="55" t="n"/>
      <c r="N353" s="10" t="n"/>
      <c r="O353" s="6" t="n"/>
      <c r="T353" s="6" t="n"/>
      <c r="Z353" s="6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  <c r="AK353" s="9" t="n"/>
      <c r="AL353" s="9" t="n"/>
      <c r="AM353" s="10" t="n"/>
    </row>
    <row r="354" ht="12.75" customHeight="1" s="562">
      <c r="E354" s="55" t="n"/>
      <c r="N354" s="10" t="n"/>
      <c r="O354" s="6" t="n"/>
      <c r="T354" s="6" t="n"/>
      <c r="Z354" s="6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  <c r="AK354" s="9" t="n"/>
      <c r="AL354" s="9" t="n"/>
      <c r="AM354" s="10" t="n"/>
    </row>
    <row r="355" ht="12.75" customHeight="1" s="562">
      <c r="E355" s="55" t="n"/>
      <c r="N355" s="10" t="n"/>
      <c r="O355" s="6" t="n"/>
      <c r="T355" s="6" t="n"/>
      <c r="Z355" s="6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  <c r="AK355" s="9" t="n"/>
      <c r="AL355" s="9" t="n"/>
      <c r="AM355" s="10" t="n"/>
    </row>
    <row r="356" ht="12.75" customHeight="1" s="562">
      <c r="E356" s="55" t="n"/>
      <c r="N356" s="10" t="n"/>
      <c r="O356" s="6" t="n"/>
      <c r="T356" s="6" t="n"/>
      <c r="Z356" s="6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  <c r="AK356" s="9" t="n"/>
      <c r="AL356" s="9" t="n"/>
      <c r="AM356" s="10" t="n"/>
    </row>
    <row r="357" ht="12.75" customHeight="1" s="562">
      <c r="E357" s="55" t="n"/>
      <c r="N357" s="10" t="n"/>
      <c r="O357" s="6" t="n"/>
      <c r="T357" s="6" t="n"/>
      <c r="Z357" s="6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  <c r="AK357" s="9" t="n"/>
      <c r="AL357" s="9" t="n"/>
      <c r="AM357" s="10" t="n"/>
    </row>
    <row r="358" ht="12.75" customHeight="1" s="562">
      <c r="E358" s="55" t="n"/>
      <c r="N358" s="10" t="n"/>
      <c r="O358" s="6" t="n"/>
      <c r="T358" s="6" t="n"/>
      <c r="Z358" s="6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  <c r="AK358" s="9" t="n"/>
      <c r="AL358" s="9" t="n"/>
      <c r="AM358" s="10" t="n"/>
    </row>
    <row r="359" ht="12.75" customHeight="1" s="562">
      <c r="E359" s="55" t="n"/>
      <c r="N359" s="10" t="n"/>
      <c r="O359" s="6" t="n"/>
      <c r="T359" s="6" t="n"/>
      <c r="Z359" s="6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  <c r="AK359" s="9" t="n"/>
      <c r="AL359" s="9" t="n"/>
      <c r="AM359" s="10" t="n"/>
    </row>
    <row r="360" ht="12.75" customHeight="1" s="562">
      <c r="E360" s="55" t="n"/>
      <c r="N360" s="10" t="n"/>
      <c r="O360" s="6" t="n"/>
      <c r="T360" s="6" t="n"/>
      <c r="Z360" s="6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  <c r="AK360" s="9" t="n"/>
      <c r="AL360" s="9" t="n"/>
      <c r="AM360" s="10" t="n"/>
    </row>
    <row r="361" ht="12.75" customHeight="1" s="562">
      <c r="E361" s="55" t="n"/>
      <c r="N361" s="10" t="n"/>
      <c r="O361" s="6" t="n"/>
      <c r="T361" s="6" t="n"/>
      <c r="Z361" s="6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  <c r="AK361" s="9" t="n"/>
      <c r="AL361" s="9" t="n"/>
      <c r="AM361" s="10" t="n"/>
    </row>
    <row r="362" ht="12.75" customHeight="1" s="562">
      <c r="E362" s="55" t="n"/>
      <c r="N362" s="10" t="n"/>
      <c r="O362" s="6" t="n"/>
      <c r="T362" s="6" t="n"/>
      <c r="Z362" s="6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  <c r="AK362" s="9" t="n"/>
      <c r="AL362" s="9" t="n"/>
      <c r="AM362" s="10" t="n"/>
    </row>
    <row r="363" ht="12.75" customHeight="1" s="562">
      <c r="E363" s="55" t="n"/>
      <c r="N363" s="10" t="n"/>
      <c r="O363" s="6" t="n"/>
      <c r="T363" s="6" t="n"/>
      <c r="Z363" s="6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  <c r="AK363" s="9" t="n"/>
      <c r="AL363" s="9" t="n"/>
      <c r="AM363" s="10" t="n"/>
    </row>
    <row r="364" ht="12.75" customHeight="1" s="562">
      <c r="E364" s="55" t="n"/>
      <c r="N364" s="10" t="n"/>
      <c r="O364" s="6" t="n"/>
      <c r="T364" s="6" t="n"/>
      <c r="Z364" s="6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10" t="n"/>
    </row>
    <row r="365" ht="12.75" customHeight="1" s="562">
      <c r="E365" s="55" t="n"/>
      <c r="N365" s="10" t="n"/>
      <c r="O365" s="6" t="n"/>
      <c r="T365" s="6" t="n"/>
      <c r="Z365" s="6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10" t="n"/>
    </row>
    <row r="366" ht="12.75" customHeight="1" s="562">
      <c r="E366" s="55" t="n"/>
      <c r="N366" s="10" t="n"/>
      <c r="O366" s="6" t="n"/>
      <c r="T366" s="6" t="n"/>
      <c r="Z366" s="6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9" t="n"/>
      <c r="AL366" s="9" t="n"/>
      <c r="AM366" s="10" t="n"/>
    </row>
    <row r="367" ht="12.75" customHeight="1" s="562">
      <c r="E367" s="55" t="n"/>
      <c r="N367" s="10" t="n"/>
      <c r="O367" s="6" t="n"/>
      <c r="T367" s="6" t="n"/>
      <c r="Z367" s="6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  <c r="AK367" s="9" t="n"/>
      <c r="AL367" s="9" t="n"/>
      <c r="AM367" s="10" t="n"/>
    </row>
    <row r="368" ht="12.75" customHeight="1" s="562">
      <c r="E368" s="55" t="n"/>
      <c r="N368" s="10" t="n"/>
      <c r="O368" s="6" t="n"/>
      <c r="T368" s="6" t="n"/>
      <c r="Z368" s="6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  <c r="AK368" s="9" t="n"/>
      <c r="AL368" s="9" t="n"/>
      <c r="AM368" s="10" t="n"/>
    </row>
    <row r="369" ht="12.75" customHeight="1" s="562">
      <c r="E369" s="55" t="n"/>
      <c r="N369" s="10" t="n"/>
      <c r="O369" s="6" t="n"/>
      <c r="T369" s="6" t="n"/>
      <c r="Z369" s="6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  <c r="AK369" s="9" t="n"/>
      <c r="AL369" s="9" t="n"/>
      <c r="AM369" s="10" t="n"/>
    </row>
    <row r="370" ht="12.75" customHeight="1" s="562">
      <c r="E370" s="55" t="n"/>
      <c r="N370" s="10" t="n"/>
      <c r="O370" s="6" t="n"/>
      <c r="T370" s="6" t="n"/>
      <c r="Z370" s="6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  <c r="AK370" s="9" t="n"/>
      <c r="AL370" s="9" t="n"/>
      <c r="AM370" s="10" t="n"/>
    </row>
    <row r="371" ht="12.75" customHeight="1" s="562">
      <c r="E371" s="55" t="n"/>
      <c r="N371" s="10" t="n"/>
      <c r="O371" s="6" t="n"/>
      <c r="T371" s="6" t="n"/>
      <c r="Z371" s="6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  <c r="AK371" s="9" t="n"/>
      <c r="AL371" s="9" t="n"/>
      <c r="AM371" s="10" t="n"/>
    </row>
    <row r="372" ht="12.75" customHeight="1" s="562">
      <c r="E372" s="55" t="n"/>
      <c r="N372" s="10" t="n"/>
      <c r="O372" s="6" t="n"/>
      <c r="T372" s="6" t="n"/>
      <c r="Z372" s="6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  <c r="AK372" s="9" t="n"/>
      <c r="AL372" s="9" t="n"/>
      <c r="AM372" s="10" t="n"/>
    </row>
    <row r="373" ht="12.75" customHeight="1" s="562">
      <c r="E373" s="55" t="n"/>
      <c r="N373" s="10" t="n"/>
      <c r="O373" s="6" t="n"/>
      <c r="T373" s="6" t="n"/>
      <c r="Z373" s="6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  <c r="AK373" s="9" t="n"/>
      <c r="AL373" s="9" t="n"/>
      <c r="AM373" s="10" t="n"/>
    </row>
    <row r="374" ht="12.75" customHeight="1" s="562">
      <c r="E374" s="55" t="n"/>
      <c r="N374" s="10" t="n"/>
      <c r="O374" s="6" t="n"/>
      <c r="T374" s="6" t="n"/>
      <c r="Z374" s="6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  <c r="AK374" s="9" t="n"/>
      <c r="AL374" s="9" t="n"/>
      <c r="AM374" s="10" t="n"/>
    </row>
    <row r="375" ht="12.75" customHeight="1" s="562">
      <c r="E375" s="55" t="n"/>
      <c r="N375" s="10" t="n"/>
      <c r="O375" s="6" t="n"/>
      <c r="T375" s="6" t="n"/>
      <c r="Z375" s="6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  <c r="AK375" s="9" t="n"/>
      <c r="AL375" s="9" t="n"/>
      <c r="AM375" s="10" t="n"/>
    </row>
    <row r="376" ht="12.75" customHeight="1" s="562">
      <c r="E376" s="55" t="n"/>
      <c r="N376" s="10" t="n"/>
      <c r="O376" s="6" t="n"/>
      <c r="T376" s="6" t="n"/>
      <c r="Z376" s="6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  <c r="AK376" s="9" t="n"/>
      <c r="AL376" s="9" t="n"/>
      <c r="AM376" s="10" t="n"/>
    </row>
    <row r="377" ht="12.75" customHeight="1" s="562">
      <c r="E377" s="55" t="n"/>
      <c r="N377" s="10" t="n"/>
      <c r="O377" s="6" t="n"/>
      <c r="T377" s="6" t="n"/>
      <c r="Z377" s="6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  <c r="AK377" s="9" t="n"/>
      <c r="AL377" s="9" t="n"/>
      <c r="AM377" s="10" t="n"/>
    </row>
    <row r="378" ht="12.75" customHeight="1" s="562">
      <c r="E378" s="55" t="n"/>
      <c r="N378" s="10" t="n"/>
      <c r="O378" s="6" t="n"/>
      <c r="T378" s="6" t="n"/>
      <c r="Z378" s="6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  <c r="AK378" s="9" t="n"/>
      <c r="AL378" s="9" t="n"/>
      <c r="AM378" s="10" t="n"/>
    </row>
    <row r="379" ht="12.75" customHeight="1" s="562">
      <c r="E379" s="55" t="n"/>
      <c r="N379" s="10" t="n"/>
      <c r="O379" s="6" t="n"/>
      <c r="T379" s="6" t="n"/>
      <c r="Z379" s="6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  <c r="AK379" s="9" t="n"/>
      <c r="AL379" s="9" t="n"/>
      <c r="AM379" s="10" t="n"/>
    </row>
    <row r="380" ht="12.75" customHeight="1" s="562">
      <c r="E380" s="55" t="n"/>
      <c r="N380" s="10" t="n"/>
      <c r="O380" s="6" t="n"/>
      <c r="T380" s="6" t="n"/>
      <c r="Z380" s="6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  <c r="AK380" s="9" t="n"/>
      <c r="AL380" s="9" t="n"/>
      <c r="AM380" s="10" t="n"/>
    </row>
    <row r="381" ht="12.75" customHeight="1" s="562">
      <c r="E381" s="55" t="n"/>
      <c r="N381" s="10" t="n"/>
      <c r="O381" s="6" t="n"/>
      <c r="T381" s="6" t="n"/>
      <c r="Z381" s="6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  <c r="AK381" s="9" t="n"/>
      <c r="AL381" s="9" t="n"/>
      <c r="AM381" s="10" t="n"/>
    </row>
    <row r="382" ht="12.75" customHeight="1" s="562">
      <c r="E382" s="55" t="n"/>
      <c r="N382" s="10" t="n"/>
      <c r="O382" s="6" t="n"/>
      <c r="T382" s="6" t="n"/>
      <c r="Z382" s="6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  <c r="AK382" s="9" t="n"/>
      <c r="AL382" s="9" t="n"/>
      <c r="AM382" s="10" t="n"/>
    </row>
    <row r="383" ht="12.75" customHeight="1" s="562">
      <c r="E383" s="55" t="n"/>
      <c r="N383" s="10" t="n"/>
      <c r="O383" s="6" t="n"/>
      <c r="T383" s="6" t="n"/>
      <c r="Z383" s="6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  <c r="AK383" s="9" t="n"/>
      <c r="AL383" s="9" t="n"/>
      <c r="AM383" s="10" t="n"/>
    </row>
    <row r="384" ht="12.75" customHeight="1" s="562">
      <c r="E384" s="55" t="n"/>
      <c r="N384" s="10" t="n"/>
      <c r="O384" s="6" t="n"/>
      <c r="T384" s="6" t="n"/>
      <c r="Z384" s="6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  <c r="AK384" s="9" t="n"/>
      <c r="AL384" s="9" t="n"/>
      <c r="AM384" s="10" t="n"/>
    </row>
    <row r="385" ht="12.75" customHeight="1" s="562">
      <c r="E385" s="55" t="n"/>
      <c r="N385" s="10" t="n"/>
      <c r="O385" s="6" t="n"/>
      <c r="T385" s="6" t="n"/>
      <c r="Z385" s="6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  <c r="AK385" s="9" t="n"/>
      <c r="AL385" s="9" t="n"/>
      <c r="AM385" s="10" t="n"/>
    </row>
    <row r="386" ht="12.75" customHeight="1" s="562">
      <c r="E386" s="55" t="n"/>
      <c r="N386" s="10" t="n"/>
      <c r="O386" s="6" t="n"/>
      <c r="T386" s="6" t="n"/>
      <c r="Z386" s="6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  <c r="AK386" s="9" t="n"/>
      <c r="AL386" s="9" t="n"/>
      <c r="AM386" s="10" t="n"/>
    </row>
    <row r="387" ht="12.75" customHeight="1" s="562">
      <c r="E387" s="55" t="n"/>
      <c r="N387" s="10" t="n"/>
      <c r="O387" s="6" t="n"/>
      <c r="T387" s="6" t="n"/>
      <c r="Z387" s="6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  <c r="AK387" s="9" t="n"/>
      <c r="AL387" s="9" t="n"/>
      <c r="AM387" s="10" t="n"/>
    </row>
    <row r="388" ht="12.75" customHeight="1" s="562">
      <c r="E388" s="55" t="n"/>
      <c r="N388" s="10" t="n"/>
      <c r="O388" s="6" t="n"/>
      <c r="T388" s="6" t="n"/>
      <c r="Z388" s="6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  <c r="AK388" s="9" t="n"/>
      <c r="AL388" s="9" t="n"/>
      <c r="AM388" s="10" t="n"/>
    </row>
    <row r="389" ht="12.75" customHeight="1" s="562">
      <c r="E389" s="55" t="n"/>
      <c r="N389" s="10" t="n"/>
      <c r="O389" s="6" t="n"/>
      <c r="T389" s="6" t="n"/>
      <c r="Z389" s="6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  <c r="AK389" s="9" t="n"/>
      <c r="AL389" s="9" t="n"/>
      <c r="AM389" s="10" t="n"/>
    </row>
    <row r="390" ht="12.75" customHeight="1" s="562">
      <c r="E390" s="55" t="n"/>
      <c r="N390" s="10" t="n"/>
      <c r="O390" s="6" t="n"/>
      <c r="T390" s="6" t="n"/>
      <c r="Z390" s="6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  <c r="AK390" s="9" t="n"/>
      <c r="AL390" s="9" t="n"/>
      <c r="AM390" s="10" t="n"/>
    </row>
    <row r="391" ht="12.75" customHeight="1" s="562">
      <c r="E391" s="55" t="n"/>
      <c r="N391" s="10" t="n"/>
      <c r="O391" s="6" t="n"/>
      <c r="T391" s="6" t="n"/>
      <c r="Z391" s="6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  <c r="AK391" s="9" t="n"/>
      <c r="AL391" s="9" t="n"/>
      <c r="AM391" s="10" t="n"/>
    </row>
    <row r="392" ht="12.75" customHeight="1" s="562">
      <c r="E392" s="55" t="n"/>
      <c r="N392" s="10" t="n"/>
      <c r="O392" s="6" t="n"/>
      <c r="T392" s="6" t="n"/>
      <c r="Z392" s="6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  <c r="AK392" s="9" t="n"/>
      <c r="AL392" s="9" t="n"/>
      <c r="AM392" s="10" t="n"/>
    </row>
    <row r="393" ht="12.75" customHeight="1" s="562">
      <c r="E393" s="55" t="n"/>
      <c r="N393" s="10" t="n"/>
      <c r="O393" s="6" t="n"/>
      <c r="T393" s="6" t="n"/>
      <c r="Z393" s="6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  <c r="AK393" s="9" t="n"/>
      <c r="AL393" s="9" t="n"/>
      <c r="AM393" s="10" t="n"/>
    </row>
    <row r="394" ht="12.75" customHeight="1" s="562">
      <c r="E394" s="55" t="n"/>
      <c r="N394" s="10" t="n"/>
      <c r="O394" s="6" t="n"/>
      <c r="T394" s="6" t="n"/>
      <c r="Z394" s="6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  <c r="AK394" s="9" t="n"/>
      <c r="AL394" s="9" t="n"/>
      <c r="AM394" s="10" t="n"/>
    </row>
    <row r="395" ht="12.75" customHeight="1" s="562">
      <c r="E395" s="55" t="n"/>
      <c r="N395" s="10" t="n"/>
      <c r="O395" s="6" t="n"/>
      <c r="T395" s="6" t="n"/>
      <c r="Z395" s="6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  <c r="AK395" s="9" t="n"/>
      <c r="AL395" s="9" t="n"/>
      <c r="AM395" s="10" t="n"/>
    </row>
    <row r="396" ht="12.75" customHeight="1" s="562">
      <c r="E396" s="55" t="n"/>
      <c r="N396" s="10" t="n"/>
      <c r="O396" s="6" t="n"/>
      <c r="T396" s="6" t="n"/>
      <c r="Z396" s="6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  <c r="AK396" s="9" t="n"/>
      <c r="AL396" s="9" t="n"/>
      <c r="AM396" s="10" t="n"/>
    </row>
    <row r="397" ht="12.75" customHeight="1" s="562">
      <c r="E397" s="55" t="n"/>
      <c r="N397" s="10" t="n"/>
      <c r="O397" s="6" t="n"/>
      <c r="T397" s="6" t="n"/>
      <c r="Z397" s="6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  <c r="AK397" s="9" t="n"/>
      <c r="AL397" s="9" t="n"/>
      <c r="AM397" s="10" t="n"/>
    </row>
    <row r="398" ht="12.75" customHeight="1" s="562">
      <c r="E398" s="55" t="n"/>
      <c r="N398" s="10" t="n"/>
      <c r="O398" s="6" t="n"/>
      <c r="T398" s="6" t="n"/>
      <c r="Z398" s="6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  <c r="AK398" s="9" t="n"/>
      <c r="AL398" s="9" t="n"/>
      <c r="AM398" s="10" t="n"/>
    </row>
    <row r="399" ht="12.75" customHeight="1" s="562">
      <c r="E399" s="55" t="n"/>
      <c r="N399" s="10" t="n"/>
      <c r="O399" s="6" t="n"/>
      <c r="T399" s="6" t="n"/>
      <c r="Z399" s="6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  <c r="AK399" s="9" t="n"/>
      <c r="AL399" s="9" t="n"/>
      <c r="AM399" s="10" t="n"/>
    </row>
    <row r="400" ht="12.75" customHeight="1" s="562">
      <c r="E400" s="55" t="n"/>
      <c r="N400" s="10" t="n"/>
      <c r="O400" s="6" t="n"/>
      <c r="T400" s="6" t="n"/>
      <c r="Z400" s="6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  <c r="AK400" s="9" t="n"/>
      <c r="AL400" s="9" t="n"/>
      <c r="AM400" s="10" t="n"/>
    </row>
    <row r="401" ht="12.75" customHeight="1" s="562">
      <c r="E401" s="55" t="n"/>
      <c r="N401" s="10" t="n"/>
      <c r="O401" s="6" t="n"/>
      <c r="T401" s="6" t="n"/>
      <c r="Z401" s="6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  <c r="AK401" s="9" t="n"/>
      <c r="AL401" s="9" t="n"/>
      <c r="AM401" s="10" t="n"/>
    </row>
    <row r="402" ht="12.75" customHeight="1" s="562">
      <c r="E402" s="55" t="n"/>
      <c r="N402" s="10" t="n"/>
      <c r="O402" s="6" t="n"/>
      <c r="T402" s="6" t="n"/>
      <c r="Z402" s="6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  <c r="AK402" s="9" t="n"/>
      <c r="AL402" s="9" t="n"/>
      <c r="AM402" s="10" t="n"/>
    </row>
    <row r="403" ht="12.75" customHeight="1" s="562">
      <c r="E403" s="55" t="n"/>
      <c r="N403" s="10" t="n"/>
      <c r="O403" s="6" t="n"/>
      <c r="T403" s="6" t="n"/>
      <c r="Z403" s="6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  <c r="AK403" s="9" t="n"/>
      <c r="AL403" s="9" t="n"/>
      <c r="AM403" s="10" t="n"/>
    </row>
    <row r="404" ht="12.75" customHeight="1" s="562">
      <c r="E404" s="55" t="n"/>
      <c r="N404" s="10" t="n"/>
      <c r="O404" s="6" t="n"/>
      <c r="T404" s="6" t="n"/>
      <c r="Z404" s="6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  <c r="AK404" s="9" t="n"/>
      <c r="AL404" s="9" t="n"/>
      <c r="AM404" s="10" t="n"/>
    </row>
    <row r="405" ht="12.75" customHeight="1" s="562">
      <c r="E405" s="55" t="n"/>
      <c r="N405" s="10" t="n"/>
      <c r="O405" s="6" t="n"/>
      <c r="T405" s="6" t="n"/>
      <c r="Z405" s="6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  <c r="AK405" s="9" t="n"/>
      <c r="AL405" s="9" t="n"/>
      <c r="AM405" s="10" t="n"/>
    </row>
    <row r="406" ht="12.75" customHeight="1" s="562">
      <c r="E406" s="55" t="n"/>
      <c r="N406" s="10" t="n"/>
      <c r="O406" s="6" t="n"/>
      <c r="T406" s="6" t="n"/>
      <c r="Z406" s="6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  <c r="AK406" s="9" t="n"/>
      <c r="AL406" s="9" t="n"/>
      <c r="AM406" s="10" t="n"/>
    </row>
    <row r="407" ht="12.75" customHeight="1" s="562">
      <c r="E407" s="55" t="n"/>
      <c r="N407" s="10" t="n"/>
      <c r="O407" s="6" t="n"/>
      <c r="T407" s="6" t="n"/>
      <c r="Z407" s="6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  <c r="AK407" s="9" t="n"/>
      <c r="AL407" s="9" t="n"/>
      <c r="AM407" s="10" t="n"/>
    </row>
    <row r="408" ht="12.75" customHeight="1" s="562">
      <c r="E408" s="55" t="n"/>
      <c r="N408" s="10" t="n"/>
      <c r="O408" s="6" t="n"/>
      <c r="T408" s="6" t="n"/>
      <c r="Z408" s="6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  <c r="AK408" s="9" t="n"/>
      <c r="AL408" s="9" t="n"/>
      <c r="AM408" s="10" t="n"/>
    </row>
    <row r="409" ht="12.75" customHeight="1" s="562">
      <c r="E409" s="55" t="n"/>
      <c r="N409" s="10" t="n"/>
      <c r="O409" s="6" t="n"/>
      <c r="T409" s="6" t="n"/>
      <c r="Z409" s="6" t="n"/>
      <c r="AB409" s="9" t="n"/>
      <c r="AC409" s="9" t="n"/>
      <c r="AD409" s="9" t="n"/>
      <c r="AE409" s="9" t="n"/>
      <c r="AF409" s="9" t="n"/>
      <c r="AG409" s="9" t="n"/>
      <c r="AH409" s="9" t="n"/>
      <c r="AI409" s="9" t="n"/>
      <c r="AJ409" s="9" t="n"/>
      <c r="AK409" s="9" t="n"/>
      <c r="AL409" s="9" t="n"/>
      <c r="AM409" s="10" t="n"/>
    </row>
    <row r="410" ht="12.75" customHeight="1" s="562">
      <c r="E410" s="55" t="n"/>
      <c r="N410" s="10" t="n"/>
      <c r="O410" s="6" t="n"/>
      <c r="T410" s="6" t="n"/>
      <c r="Z410" s="6" t="n"/>
      <c r="AB410" s="9" t="n"/>
      <c r="AC410" s="9" t="n"/>
      <c r="AD410" s="9" t="n"/>
      <c r="AE410" s="9" t="n"/>
      <c r="AF410" s="9" t="n"/>
      <c r="AG410" s="9" t="n"/>
      <c r="AH410" s="9" t="n"/>
      <c r="AI410" s="9" t="n"/>
      <c r="AJ410" s="9" t="n"/>
      <c r="AK410" s="9" t="n"/>
      <c r="AL410" s="9" t="n"/>
      <c r="AM410" s="10" t="n"/>
    </row>
    <row r="411" ht="12.75" customHeight="1" s="562">
      <c r="E411" s="55" t="n"/>
      <c r="N411" s="10" t="n"/>
      <c r="O411" s="6" t="n"/>
      <c r="T411" s="6" t="n"/>
      <c r="Z411" s="6" t="n"/>
      <c r="AB411" s="9" t="n"/>
      <c r="AC411" s="9" t="n"/>
      <c r="AD411" s="9" t="n"/>
      <c r="AE411" s="9" t="n"/>
      <c r="AF411" s="9" t="n"/>
      <c r="AG411" s="9" t="n"/>
      <c r="AH411" s="9" t="n"/>
      <c r="AI411" s="9" t="n"/>
      <c r="AJ411" s="9" t="n"/>
      <c r="AK411" s="9" t="n"/>
      <c r="AL411" s="9" t="n"/>
      <c r="AM411" s="10" t="n"/>
    </row>
    <row r="412" ht="12.75" customHeight="1" s="562">
      <c r="E412" s="55" t="n"/>
      <c r="N412" s="10" t="n"/>
      <c r="O412" s="6" t="n"/>
      <c r="T412" s="6" t="n"/>
      <c r="Z412" s="6" t="n"/>
      <c r="AB412" s="9" t="n"/>
      <c r="AC412" s="9" t="n"/>
      <c r="AD412" s="9" t="n"/>
      <c r="AE412" s="9" t="n"/>
      <c r="AF412" s="9" t="n"/>
      <c r="AG412" s="9" t="n"/>
      <c r="AH412" s="9" t="n"/>
      <c r="AI412" s="9" t="n"/>
      <c r="AJ412" s="9" t="n"/>
      <c r="AK412" s="9" t="n"/>
      <c r="AL412" s="9" t="n"/>
      <c r="AM412" s="10" t="n"/>
    </row>
    <row r="413" ht="12.75" customHeight="1" s="562">
      <c r="E413" s="55" t="n"/>
      <c r="N413" s="10" t="n"/>
      <c r="O413" s="6" t="n"/>
      <c r="T413" s="6" t="n"/>
      <c r="Z413" s="6" t="n"/>
      <c r="AB413" s="9" t="n"/>
      <c r="AC413" s="9" t="n"/>
      <c r="AD413" s="9" t="n"/>
      <c r="AE413" s="9" t="n"/>
      <c r="AF413" s="9" t="n"/>
      <c r="AG413" s="9" t="n"/>
      <c r="AH413" s="9" t="n"/>
      <c r="AI413" s="9" t="n"/>
      <c r="AJ413" s="9" t="n"/>
      <c r="AK413" s="9" t="n"/>
      <c r="AL413" s="9" t="n"/>
      <c r="AM413" s="10" t="n"/>
    </row>
    <row r="414" ht="12.75" customHeight="1" s="562">
      <c r="E414" s="55" t="n"/>
      <c r="N414" s="10" t="n"/>
      <c r="O414" s="6" t="n"/>
      <c r="T414" s="6" t="n"/>
      <c r="Z414" s="6" t="n"/>
      <c r="AB414" s="9" t="n"/>
      <c r="AC414" s="9" t="n"/>
      <c r="AD414" s="9" t="n"/>
      <c r="AE414" s="9" t="n"/>
      <c r="AF414" s="9" t="n"/>
      <c r="AG414" s="9" t="n"/>
      <c r="AH414" s="9" t="n"/>
      <c r="AI414" s="9" t="n"/>
      <c r="AJ414" s="9" t="n"/>
      <c r="AK414" s="9" t="n"/>
      <c r="AL414" s="9" t="n"/>
      <c r="AM414" s="10" t="n"/>
    </row>
    <row r="415" ht="12.75" customHeight="1" s="562">
      <c r="E415" s="55" t="n"/>
      <c r="N415" s="10" t="n"/>
      <c r="O415" s="6" t="n"/>
      <c r="T415" s="6" t="n"/>
      <c r="Z415" s="6" t="n"/>
      <c r="AB415" s="9" t="n"/>
      <c r="AC415" s="9" t="n"/>
      <c r="AD415" s="9" t="n"/>
      <c r="AE415" s="9" t="n"/>
      <c r="AF415" s="9" t="n"/>
      <c r="AG415" s="9" t="n"/>
      <c r="AH415" s="9" t="n"/>
      <c r="AI415" s="9" t="n"/>
      <c r="AJ415" s="9" t="n"/>
      <c r="AK415" s="9" t="n"/>
      <c r="AL415" s="9" t="n"/>
      <c r="AM415" s="10" t="n"/>
    </row>
    <row r="416" ht="12.75" customHeight="1" s="562">
      <c r="E416" s="55" t="n"/>
      <c r="N416" s="10" t="n"/>
      <c r="O416" s="6" t="n"/>
      <c r="T416" s="6" t="n"/>
      <c r="Z416" s="6" t="n"/>
      <c r="AB416" s="9" t="n"/>
      <c r="AC416" s="9" t="n"/>
      <c r="AD416" s="9" t="n"/>
      <c r="AE416" s="9" t="n"/>
      <c r="AF416" s="9" t="n"/>
      <c r="AG416" s="9" t="n"/>
      <c r="AH416" s="9" t="n"/>
      <c r="AI416" s="9" t="n"/>
      <c r="AJ416" s="9" t="n"/>
      <c r="AK416" s="9" t="n"/>
      <c r="AL416" s="9" t="n"/>
      <c r="AM416" s="10" t="n"/>
    </row>
    <row r="417" ht="12.75" customHeight="1" s="562">
      <c r="E417" s="55" t="n"/>
      <c r="N417" s="10" t="n"/>
      <c r="O417" s="6" t="n"/>
      <c r="T417" s="6" t="n"/>
      <c r="Z417" s="6" t="n"/>
      <c r="AB417" s="9" t="n"/>
      <c r="AC417" s="9" t="n"/>
      <c r="AD417" s="9" t="n"/>
      <c r="AE417" s="9" t="n"/>
      <c r="AF417" s="9" t="n"/>
      <c r="AG417" s="9" t="n"/>
      <c r="AH417" s="9" t="n"/>
      <c r="AI417" s="9" t="n"/>
      <c r="AJ417" s="9" t="n"/>
      <c r="AK417" s="9" t="n"/>
      <c r="AL417" s="9" t="n"/>
      <c r="AM417" s="10" t="n"/>
    </row>
    <row r="418" ht="12.75" customHeight="1" s="562">
      <c r="E418" s="55" t="n"/>
      <c r="N418" s="10" t="n"/>
      <c r="O418" s="6" t="n"/>
      <c r="T418" s="6" t="n"/>
      <c r="Z418" s="6" t="n"/>
      <c r="AB418" s="9" t="n"/>
      <c r="AC418" s="9" t="n"/>
      <c r="AD418" s="9" t="n"/>
      <c r="AE418" s="9" t="n"/>
      <c r="AF418" s="9" t="n"/>
      <c r="AG418" s="9" t="n"/>
      <c r="AH418" s="9" t="n"/>
      <c r="AI418" s="9" t="n"/>
      <c r="AJ418" s="9" t="n"/>
      <c r="AK418" s="9" t="n"/>
      <c r="AL418" s="9" t="n"/>
      <c r="AM418" s="10" t="n"/>
    </row>
    <row r="419" ht="12.75" customHeight="1" s="562">
      <c r="E419" s="55" t="n"/>
      <c r="N419" s="10" t="n"/>
      <c r="O419" s="6" t="n"/>
      <c r="T419" s="6" t="n"/>
      <c r="Z419" s="6" t="n"/>
      <c r="AB419" s="9" t="n"/>
      <c r="AC419" s="9" t="n"/>
      <c r="AD419" s="9" t="n"/>
      <c r="AE419" s="9" t="n"/>
      <c r="AF419" s="9" t="n"/>
      <c r="AG419" s="9" t="n"/>
      <c r="AH419" s="9" t="n"/>
      <c r="AI419" s="9" t="n"/>
      <c r="AJ419" s="9" t="n"/>
      <c r="AK419" s="9" t="n"/>
      <c r="AL419" s="9" t="n"/>
      <c r="AM419" s="10" t="n"/>
    </row>
    <row r="420" ht="12.75" customHeight="1" s="562">
      <c r="E420" s="55" t="n"/>
      <c r="N420" s="10" t="n"/>
      <c r="O420" s="6" t="n"/>
      <c r="T420" s="6" t="n"/>
      <c r="Z420" s="6" t="n"/>
      <c r="AB420" s="9" t="n"/>
      <c r="AC420" s="9" t="n"/>
      <c r="AD420" s="9" t="n"/>
      <c r="AE420" s="9" t="n"/>
      <c r="AF420" s="9" t="n"/>
      <c r="AG420" s="9" t="n"/>
      <c r="AH420" s="9" t="n"/>
      <c r="AI420" s="9" t="n"/>
      <c r="AJ420" s="9" t="n"/>
      <c r="AK420" s="9" t="n"/>
      <c r="AL420" s="9" t="n"/>
      <c r="AM420" s="10" t="n"/>
    </row>
    <row r="421" ht="12.75" customHeight="1" s="562">
      <c r="E421" s="55" t="n"/>
      <c r="N421" s="10" t="n"/>
      <c r="O421" s="6" t="n"/>
      <c r="T421" s="6" t="n"/>
      <c r="Z421" s="6" t="n"/>
      <c r="AB421" s="9" t="n"/>
      <c r="AC421" s="9" t="n"/>
      <c r="AD421" s="9" t="n"/>
      <c r="AE421" s="9" t="n"/>
      <c r="AF421" s="9" t="n"/>
      <c r="AG421" s="9" t="n"/>
      <c r="AH421" s="9" t="n"/>
      <c r="AI421" s="9" t="n"/>
      <c r="AJ421" s="9" t="n"/>
      <c r="AK421" s="9" t="n"/>
      <c r="AL421" s="9" t="n"/>
      <c r="AM421" s="10" t="n"/>
    </row>
    <row r="422" ht="12.75" customHeight="1" s="562">
      <c r="E422" s="55" t="n"/>
      <c r="N422" s="10" t="n"/>
      <c r="O422" s="6" t="n"/>
      <c r="T422" s="6" t="n"/>
      <c r="Z422" s="6" t="n"/>
      <c r="AB422" s="9" t="n"/>
      <c r="AC422" s="9" t="n"/>
      <c r="AD422" s="9" t="n"/>
      <c r="AE422" s="9" t="n"/>
      <c r="AF422" s="9" t="n"/>
      <c r="AG422" s="9" t="n"/>
      <c r="AH422" s="9" t="n"/>
      <c r="AI422" s="9" t="n"/>
      <c r="AJ422" s="9" t="n"/>
      <c r="AK422" s="9" t="n"/>
      <c r="AL422" s="9" t="n"/>
      <c r="AM422" s="10" t="n"/>
    </row>
    <row r="423" ht="12.75" customHeight="1" s="562">
      <c r="E423" s="55" t="n"/>
      <c r="N423" s="10" t="n"/>
      <c r="O423" s="6" t="n"/>
      <c r="T423" s="6" t="n"/>
      <c r="Z423" s="6" t="n"/>
      <c r="AB423" s="9" t="n"/>
      <c r="AC423" s="9" t="n"/>
      <c r="AD423" s="9" t="n"/>
      <c r="AE423" s="9" t="n"/>
      <c r="AF423" s="9" t="n"/>
      <c r="AG423" s="9" t="n"/>
      <c r="AH423" s="9" t="n"/>
      <c r="AI423" s="9" t="n"/>
      <c r="AJ423" s="9" t="n"/>
      <c r="AK423" s="9" t="n"/>
      <c r="AL423" s="9" t="n"/>
      <c r="AM423" s="10" t="n"/>
    </row>
    <row r="424" ht="12.75" customHeight="1" s="562">
      <c r="E424" s="55" t="n"/>
      <c r="N424" s="10" t="n"/>
      <c r="O424" s="6" t="n"/>
      <c r="T424" s="6" t="n"/>
      <c r="Z424" s="6" t="n"/>
      <c r="AB424" s="9" t="n"/>
      <c r="AC424" s="9" t="n"/>
      <c r="AD424" s="9" t="n"/>
      <c r="AE424" s="9" t="n"/>
      <c r="AF424" s="9" t="n"/>
      <c r="AG424" s="9" t="n"/>
      <c r="AH424" s="9" t="n"/>
      <c r="AI424" s="9" t="n"/>
      <c r="AJ424" s="9" t="n"/>
      <c r="AK424" s="9" t="n"/>
      <c r="AL424" s="9" t="n"/>
      <c r="AM424" s="10" t="n"/>
    </row>
    <row r="425" ht="12.75" customHeight="1" s="562">
      <c r="E425" s="55" t="n"/>
      <c r="N425" s="10" t="n"/>
      <c r="O425" s="6" t="n"/>
      <c r="T425" s="6" t="n"/>
      <c r="Z425" s="6" t="n"/>
      <c r="AB425" s="9" t="n"/>
      <c r="AC425" s="9" t="n"/>
      <c r="AD425" s="9" t="n"/>
      <c r="AE425" s="9" t="n"/>
      <c r="AF425" s="9" t="n"/>
      <c r="AG425" s="9" t="n"/>
      <c r="AH425" s="9" t="n"/>
      <c r="AI425" s="9" t="n"/>
      <c r="AJ425" s="9" t="n"/>
      <c r="AK425" s="9" t="n"/>
      <c r="AL425" s="9" t="n"/>
      <c r="AM425" s="10" t="n"/>
    </row>
    <row r="426" ht="12.75" customHeight="1" s="562">
      <c r="E426" s="55" t="n"/>
      <c r="N426" s="10" t="n"/>
      <c r="O426" s="6" t="n"/>
      <c r="T426" s="6" t="n"/>
      <c r="Z426" s="6" t="n"/>
      <c r="AB426" s="9" t="n"/>
      <c r="AC426" s="9" t="n"/>
      <c r="AD426" s="9" t="n"/>
      <c r="AE426" s="9" t="n"/>
      <c r="AF426" s="9" t="n"/>
      <c r="AG426" s="9" t="n"/>
      <c r="AH426" s="9" t="n"/>
      <c r="AI426" s="9" t="n"/>
      <c r="AJ426" s="9" t="n"/>
      <c r="AK426" s="9" t="n"/>
      <c r="AL426" s="9" t="n"/>
      <c r="AM426" s="10" t="n"/>
    </row>
    <row r="427" ht="12.75" customHeight="1" s="562">
      <c r="E427" s="55" t="n"/>
      <c r="N427" s="10" t="n"/>
      <c r="O427" s="6" t="n"/>
      <c r="T427" s="6" t="n"/>
      <c r="Z427" s="6" t="n"/>
      <c r="AB427" s="9" t="n"/>
      <c r="AC427" s="9" t="n"/>
      <c r="AD427" s="9" t="n"/>
      <c r="AE427" s="9" t="n"/>
      <c r="AF427" s="9" t="n"/>
      <c r="AG427" s="9" t="n"/>
      <c r="AH427" s="9" t="n"/>
      <c r="AI427" s="9" t="n"/>
      <c r="AJ427" s="9" t="n"/>
      <c r="AK427" s="9" t="n"/>
      <c r="AL427" s="9" t="n"/>
      <c r="AM427" s="10" t="n"/>
    </row>
    <row r="428" ht="12.75" customHeight="1" s="562">
      <c r="E428" s="55" t="n"/>
      <c r="N428" s="10" t="n"/>
      <c r="O428" s="6" t="n"/>
      <c r="T428" s="6" t="n"/>
      <c r="Z428" s="6" t="n"/>
      <c r="AB428" s="9" t="n"/>
      <c r="AC428" s="9" t="n"/>
      <c r="AD428" s="9" t="n"/>
      <c r="AE428" s="9" t="n"/>
      <c r="AF428" s="9" t="n"/>
      <c r="AG428" s="9" t="n"/>
      <c r="AH428" s="9" t="n"/>
      <c r="AI428" s="9" t="n"/>
      <c r="AJ428" s="9" t="n"/>
      <c r="AK428" s="9" t="n"/>
      <c r="AL428" s="9" t="n"/>
      <c r="AM428" s="10" t="n"/>
    </row>
    <row r="429" ht="12.75" customHeight="1" s="562">
      <c r="E429" s="55" t="n"/>
      <c r="N429" s="10" t="n"/>
      <c r="O429" s="6" t="n"/>
      <c r="T429" s="6" t="n"/>
      <c r="Z429" s="6" t="n"/>
      <c r="AB429" s="9" t="n"/>
      <c r="AC429" s="9" t="n"/>
      <c r="AD429" s="9" t="n"/>
      <c r="AE429" s="9" t="n"/>
      <c r="AF429" s="9" t="n"/>
      <c r="AG429" s="9" t="n"/>
      <c r="AH429" s="9" t="n"/>
      <c r="AI429" s="9" t="n"/>
      <c r="AJ429" s="9" t="n"/>
      <c r="AK429" s="9" t="n"/>
      <c r="AL429" s="9" t="n"/>
      <c r="AM429" s="10" t="n"/>
    </row>
    <row r="430" ht="12.75" customHeight="1" s="562">
      <c r="E430" s="55" t="n"/>
      <c r="N430" s="10" t="n"/>
      <c r="O430" s="6" t="n"/>
      <c r="T430" s="6" t="n"/>
      <c r="Z430" s="6" t="n"/>
      <c r="AB430" s="9" t="n"/>
      <c r="AC430" s="9" t="n"/>
      <c r="AD430" s="9" t="n"/>
      <c r="AE430" s="9" t="n"/>
      <c r="AF430" s="9" t="n"/>
      <c r="AG430" s="9" t="n"/>
      <c r="AH430" s="9" t="n"/>
      <c r="AI430" s="9" t="n"/>
      <c r="AJ430" s="9" t="n"/>
      <c r="AK430" s="9" t="n"/>
      <c r="AL430" s="9" t="n"/>
      <c r="AM430" s="10" t="n"/>
    </row>
    <row r="431" ht="12.75" customHeight="1" s="562">
      <c r="E431" s="55" t="n"/>
      <c r="N431" s="10" t="n"/>
      <c r="O431" s="6" t="n"/>
      <c r="T431" s="6" t="n"/>
      <c r="Z431" s="6" t="n"/>
      <c r="AB431" s="9" t="n"/>
      <c r="AC431" s="9" t="n"/>
      <c r="AD431" s="9" t="n"/>
      <c r="AE431" s="9" t="n"/>
      <c r="AF431" s="9" t="n"/>
      <c r="AG431" s="9" t="n"/>
      <c r="AH431" s="9" t="n"/>
      <c r="AI431" s="9" t="n"/>
      <c r="AJ431" s="9" t="n"/>
      <c r="AK431" s="9" t="n"/>
      <c r="AL431" s="9" t="n"/>
      <c r="AM431" s="10" t="n"/>
    </row>
    <row r="432" ht="12.75" customHeight="1" s="562">
      <c r="E432" s="55" t="n"/>
      <c r="N432" s="10" t="n"/>
      <c r="O432" s="6" t="n"/>
      <c r="T432" s="6" t="n"/>
      <c r="Z432" s="6" t="n"/>
      <c r="AB432" s="9" t="n"/>
      <c r="AC432" s="9" t="n"/>
      <c r="AD432" s="9" t="n"/>
      <c r="AE432" s="9" t="n"/>
      <c r="AF432" s="9" t="n"/>
      <c r="AG432" s="9" t="n"/>
      <c r="AH432" s="9" t="n"/>
      <c r="AI432" s="9" t="n"/>
      <c r="AJ432" s="9" t="n"/>
      <c r="AK432" s="9" t="n"/>
      <c r="AL432" s="9" t="n"/>
      <c r="AM432" s="10" t="n"/>
    </row>
    <row r="433" ht="12.75" customHeight="1" s="562">
      <c r="E433" s="55" t="n"/>
      <c r="N433" s="10" t="n"/>
      <c r="O433" s="6" t="n"/>
      <c r="T433" s="6" t="n"/>
      <c r="Z433" s="6" t="n"/>
      <c r="AB433" s="9" t="n"/>
      <c r="AC433" s="9" t="n"/>
      <c r="AD433" s="9" t="n"/>
      <c r="AE433" s="9" t="n"/>
      <c r="AF433" s="9" t="n"/>
      <c r="AG433" s="9" t="n"/>
      <c r="AH433" s="9" t="n"/>
      <c r="AI433" s="9" t="n"/>
      <c r="AJ433" s="9" t="n"/>
      <c r="AK433" s="9" t="n"/>
      <c r="AL433" s="9" t="n"/>
      <c r="AM433" s="10" t="n"/>
    </row>
    <row r="434" ht="12.75" customHeight="1" s="562">
      <c r="E434" s="55" t="n"/>
      <c r="N434" s="10" t="n"/>
      <c r="O434" s="6" t="n"/>
      <c r="T434" s="6" t="n"/>
      <c r="Z434" s="6" t="n"/>
      <c r="AB434" s="9" t="n"/>
      <c r="AC434" s="9" t="n"/>
      <c r="AD434" s="9" t="n"/>
      <c r="AE434" s="9" t="n"/>
      <c r="AF434" s="9" t="n"/>
      <c r="AG434" s="9" t="n"/>
      <c r="AH434" s="9" t="n"/>
      <c r="AI434" s="9" t="n"/>
      <c r="AJ434" s="9" t="n"/>
      <c r="AK434" s="9" t="n"/>
      <c r="AL434" s="9" t="n"/>
      <c r="AM434" s="10" t="n"/>
    </row>
    <row r="435" ht="12.75" customHeight="1" s="562">
      <c r="E435" s="55" t="n"/>
      <c r="N435" s="10" t="n"/>
      <c r="O435" s="6" t="n"/>
      <c r="T435" s="6" t="n"/>
      <c r="Z435" s="6" t="n"/>
      <c r="AB435" s="9" t="n"/>
      <c r="AC435" s="9" t="n"/>
      <c r="AD435" s="9" t="n"/>
      <c r="AE435" s="9" t="n"/>
      <c r="AF435" s="9" t="n"/>
      <c r="AG435" s="9" t="n"/>
      <c r="AH435" s="9" t="n"/>
      <c r="AI435" s="9" t="n"/>
      <c r="AJ435" s="9" t="n"/>
      <c r="AK435" s="9" t="n"/>
      <c r="AL435" s="9" t="n"/>
      <c r="AM435" s="10" t="n"/>
    </row>
    <row r="436" ht="12.75" customHeight="1" s="562">
      <c r="E436" s="55" t="n"/>
      <c r="N436" s="10" t="n"/>
      <c r="O436" s="6" t="n"/>
      <c r="T436" s="6" t="n"/>
      <c r="Z436" s="6" t="n"/>
      <c r="AB436" s="9" t="n"/>
      <c r="AC436" s="9" t="n"/>
      <c r="AD436" s="9" t="n"/>
      <c r="AE436" s="9" t="n"/>
      <c r="AF436" s="9" t="n"/>
      <c r="AG436" s="9" t="n"/>
      <c r="AH436" s="9" t="n"/>
      <c r="AI436" s="9" t="n"/>
      <c r="AJ436" s="9" t="n"/>
      <c r="AK436" s="9" t="n"/>
      <c r="AL436" s="9" t="n"/>
      <c r="AM436" s="10" t="n"/>
    </row>
    <row r="437" ht="12.75" customHeight="1" s="562">
      <c r="E437" s="55" t="n"/>
      <c r="N437" s="10" t="n"/>
      <c r="O437" s="6" t="n"/>
      <c r="T437" s="6" t="n"/>
      <c r="Z437" s="6" t="n"/>
      <c r="AB437" s="9" t="n"/>
      <c r="AC437" s="9" t="n"/>
      <c r="AD437" s="9" t="n"/>
      <c r="AE437" s="9" t="n"/>
      <c r="AF437" s="9" t="n"/>
      <c r="AG437" s="9" t="n"/>
      <c r="AH437" s="9" t="n"/>
      <c r="AI437" s="9" t="n"/>
      <c r="AJ437" s="9" t="n"/>
      <c r="AK437" s="9" t="n"/>
      <c r="AL437" s="9" t="n"/>
      <c r="AM437" s="10" t="n"/>
    </row>
    <row r="438" ht="12.75" customHeight="1" s="562">
      <c r="E438" s="55" t="n"/>
      <c r="N438" s="10" t="n"/>
      <c r="O438" s="6" t="n"/>
      <c r="T438" s="6" t="n"/>
      <c r="Z438" s="6" t="n"/>
      <c r="AB438" s="9" t="n"/>
      <c r="AC438" s="9" t="n"/>
      <c r="AD438" s="9" t="n"/>
      <c r="AE438" s="9" t="n"/>
      <c r="AF438" s="9" t="n"/>
      <c r="AG438" s="9" t="n"/>
      <c r="AH438" s="9" t="n"/>
      <c r="AI438" s="9" t="n"/>
      <c r="AJ438" s="9" t="n"/>
      <c r="AK438" s="9" t="n"/>
      <c r="AL438" s="9" t="n"/>
      <c r="AM438" s="10" t="n"/>
    </row>
    <row r="439" ht="12.75" customHeight="1" s="562">
      <c r="E439" s="55" t="n"/>
      <c r="N439" s="10" t="n"/>
      <c r="O439" s="6" t="n"/>
      <c r="T439" s="6" t="n"/>
      <c r="Z439" s="6" t="n"/>
      <c r="AB439" s="9" t="n"/>
      <c r="AC439" s="9" t="n"/>
      <c r="AD439" s="9" t="n"/>
      <c r="AE439" s="9" t="n"/>
      <c r="AF439" s="9" t="n"/>
      <c r="AG439" s="9" t="n"/>
      <c r="AH439" s="9" t="n"/>
      <c r="AI439" s="9" t="n"/>
      <c r="AJ439" s="9" t="n"/>
      <c r="AK439" s="9" t="n"/>
      <c r="AL439" s="9" t="n"/>
      <c r="AM439" s="10" t="n"/>
    </row>
    <row r="440" ht="12.75" customHeight="1" s="562">
      <c r="E440" s="55" t="n"/>
      <c r="N440" s="10" t="n"/>
      <c r="O440" s="6" t="n"/>
      <c r="T440" s="6" t="n"/>
      <c r="Z440" s="6" t="n"/>
      <c r="AB440" s="9" t="n"/>
      <c r="AC440" s="9" t="n"/>
      <c r="AD440" s="9" t="n"/>
      <c r="AE440" s="9" t="n"/>
      <c r="AF440" s="9" t="n"/>
      <c r="AG440" s="9" t="n"/>
      <c r="AH440" s="9" t="n"/>
      <c r="AI440" s="9" t="n"/>
      <c r="AJ440" s="9" t="n"/>
      <c r="AK440" s="9" t="n"/>
      <c r="AL440" s="9" t="n"/>
      <c r="AM440" s="10" t="n"/>
    </row>
    <row r="441" ht="12.75" customHeight="1" s="562">
      <c r="E441" s="55" t="n"/>
      <c r="N441" s="10" t="n"/>
      <c r="O441" s="6" t="n"/>
      <c r="T441" s="6" t="n"/>
      <c r="Z441" s="6" t="n"/>
      <c r="AB441" s="9" t="n"/>
      <c r="AC441" s="9" t="n"/>
      <c r="AD441" s="9" t="n"/>
      <c r="AE441" s="9" t="n"/>
      <c r="AF441" s="9" t="n"/>
      <c r="AG441" s="9" t="n"/>
      <c r="AH441" s="9" t="n"/>
      <c r="AI441" s="9" t="n"/>
      <c r="AJ441" s="9" t="n"/>
      <c r="AK441" s="9" t="n"/>
      <c r="AL441" s="9" t="n"/>
      <c r="AM441" s="10" t="n"/>
    </row>
    <row r="442" ht="12.75" customHeight="1" s="562">
      <c r="E442" s="55" t="n"/>
      <c r="N442" s="10" t="n"/>
      <c r="O442" s="6" t="n"/>
      <c r="T442" s="6" t="n"/>
      <c r="Z442" s="6" t="n"/>
      <c r="AB442" s="9" t="n"/>
      <c r="AC442" s="9" t="n"/>
      <c r="AD442" s="9" t="n"/>
      <c r="AE442" s="9" t="n"/>
      <c r="AF442" s="9" t="n"/>
      <c r="AG442" s="9" t="n"/>
      <c r="AH442" s="9" t="n"/>
      <c r="AI442" s="9" t="n"/>
      <c r="AJ442" s="9" t="n"/>
      <c r="AK442" s="9" t="n"/>
      <c r="AL442" s="9" t="n"/>
      <c r="AM442" s="10" t="n"/>
    </row>
    <row r="443" ht="12.75" customHeight="1" s="562">
      <c r="E443" s="55" t="n"/>
      <c r="N443" s="10" t="n"/>
      <c r="O443" s="6" t="n"/>
      <c r="T443" s="6" t="n"/>
      <c r="Z443" s="6" t="n"/>
      <c r="AB443" s="9" t="n"/>
      <c r="AC443" s="9" t="n"/>
      <c r="AD443" s="9" t="n"/>
      <c r="AE443" s="9" t="n"/>
      <c r="AF443" s="9" t="n"/>
      <c r="AG443" s="9" t="n"/>
      <c r="AH443" s="9" t="n"/>
      <c r="AI443" s="9" t="n"/>
      <c r="AJ443" s="9" t="n"/>
      <c r="AK443" s="9" t="n"/>
      <c r="AL443" s="9" t="n"/>
      <c r="AM443" s="10" t="n"/>
    </row>
    <row r="444" ht="12.75" customHeight="1" s="562">
      <c r="E444" s="55" t="n"/>
      <c r="N444" s="10" t="n"/>
      <c r="O444" s="6" t="n"/>
      <c r="T444" s="6" t="n"/>
      <c r="Z444" s="6" t="n"/>
      <c r="AB444" s="9" t="n"/>
      <c r="AC444" s="9" t="n"/>
      <c r="AD444" s="9" t="n"/>
      <c r="AE444" s="9" t="n"/>
      <c r="AF444" s="9" t="n"/>
      <c r="AG444" s="9" t="n"/>
      <c r="AH444" s="9" t="n"/>
      <c r="AI444" s="9" t="n"/>
      <c r="AJ444" s="9" t="n"/>
      <c r="AK444" s="9" t="n"/>
      <c r="AL444" s="9" t="n"/>
      <c r="AM444" s="10" t="n"/>
    </row>
    <row r="445" ht="12.75" customHeight="1" s="562">
      <c r="E445" s="55" t="n"/>
      <c r="N445" s="10" t="n"/>
      <c r="O445" s="6" t="n"/>
      <c r="T445" s="6" t="n"/>
      <c r="Z445" s="6" t="n"/>
      <c r="AB445" s="9" t="n"/>
      <c r="AC445" s="9" t="n"/>
      <c r="AD445" s="9" t="n"/>
      <c r="AE445" s="9" t="n"/>
      <c r="AF445" s="9" t="n"/>
      <c r="AG445" s="9" t="n"/>
      <c r="AH445" s="9" t="n"/>
      <c r="AI445" s="9" t="n"/>
      <c r="AJ445" s="9" t="n"/>
      <c r="AK445" s="9" t="n"/>
      <c r="AL445" s="9" t="n"/>
      <c r="AM445" s="10" t="n"/>
    </row>
    <row r="446" ht="12.75" customHeight="1" s="562">
      <c r="E446" s="55" t="n"/>
      <c r="N446" s="10" t="n"/>
      <c r="O446" s="6" t="n"/>
      <c r="T446" s="6" t="n"/>
      <c r="Z446" s="6" t="n"/>
      <c r="AB446" s="9" t="n"/>
      <c r="AC446" s="9" t="n"/>
      <c r="AD446" s="9" t="n"/>
      <c r="AE446" s="9" t="n"/>
      <c r="AF446" s="9" t="n"/>
      <c r="AG446" s="9" t="n"/>
      <c r="AH446" s="9" t="n"/>
      <c r="AI446" s="9" t="n"/>
      <c r="AJ446" s="9" t="n"/>
      <c r="AK446" s="9" t="n"/>
      <c r="AL446" s="9" t="n"/>
      <c r="AM446" s="10" t="n"/>
    </row>
    <row r="447" ht="12.75" customHeight="1" s="562">
      <c r="E447" s="55" t="n"/>
      <c r="N447" s="10" t="n"/>
      <c r="O447" s="6" t="n"/>
      <c r="T447" s="6" t="n"/>
      <c r="Z447" s="6" t="n"/>
      <c r="AB447" s="9" t="n"/>
      <c r="AC447" s="9" t="n"/>
      <c r="AD447" s="9" t="n"/>
      <c r="AE447" s="9" t="n"/>
      <c r="AF447" s="9" t="n"/>
      <c r="AG447" s="9" t="n"/>
      <c r="AH447" s="9" t="n"/>
      <c r="AI447" s="9" t="n"/>
      <c r="AJ447" s="9" t="n"/>
      <c r="AK447" s="9" t="n"/>
      <c r="AL447" s="9" t="n"/>
      <c r="AM447" s="10" t="n"/>
    </row>
    <row r="448" ht="12.75" customHeight="1" s="562">
      <c r="E448" s="55" t="n"/>
      <c r="N448" s="10" t="n"/>
      <c r="O448" s="6" t="n"/>
      <c r="T448" s="6" t="n"/>
      <c r="Z448" s="6" t="n"/>
      <c r="AB448" s="9" t="n"/>
      <c r="AC448" s="9" t="n"/>
      <c r="AD448" s="9" t="n"/>
      <c r="AE448" s="9" t="n"/>
      <c r="AF448" s="9" t="n"/>
      <c r="AG448" s="9" t="n"/>
      <c r="AH448" s="9" t="n"/>
      <c r="AI448" s="9" t="n"/>
      <c r="AJ448" s="9" t="n"/>
      <c r="AK448" s="9" t="n"/>
      <c r="AL448" s="9" t="n"/>
      <c r="AM448" s="10" t="n"/>
    </row>
    <row r="449" ht="12.75" customHeight="1" s="562">
      <c r="E449" s="55" t="n"/>
      <c r="N449" s="10" t="n"/>
      <c r="O449" s="6" t="n"/>
      <c r="T449" s="6" t="n"/>
      <c r="Z449" s="6" t="n"/>
      <c r="AB449" s="9" t="n"/>
      <c r="AC449" s="9" t="n"/>
      <c r="AD449" s="9" t="n"/>
      <c r="AE449" s="9" t="n"/>
      <c r="AF449" s="9" t="n"/>
      <c r="AG449" s="9" t="n"/>
      <c r="AH449" s="9" t="n"/>
      <c r="AI449" s="9" t="n"/>
      <c r="AJ449" s="9" t="n"/>
      <c r="AK449" s="9" t="n"/>
      <c r="AL449" s="9" t="n"/>
      <c r="AM449" s="10" t="n"/>
    </row>
    <row r="450" ht="12.75" customHeight="1" s="562">
      <c r="E450" s="55" t="n"/>
      <c r="N450" s="10" t="n"/>
      <c r="O450" s="6" t="n"/>
      <c r="T450" s="6" t="n"/>
      <c r="Z450" s="6" t="n"/>
      <c r="AB450" s="9" t="n"/>
      <c r="AC450" s="9" t="n"/>
      <c r="AD450" s="9" t="n"/>
      <c r="AE450" s="9" t="n"/>
      <c r="AF450" s="9" t="n"/>
      <c r="AG450" s="9" t="n"/>
      <c r="AH450" s="9" t="n"/>
      <c r="AI450" s="9" t="n"/>
      <c r="AJ450" s="9" t="n"/>
      <c r="AK450" s="9" t="n"/>
      <c r="AL450" s="9" t="n"/>
      <c r="AM450" s="10" t="n"/>
    </row>
    <row r="451" ht="12.75" customHeight="1" s="562">
      <c r="E451" s="55" t="n"/>
      <c r="N451" s="10" t="n"/>
      <c r="O451" s="6" t="n"/>
      <c r="T451" s="6" t="n"/>
      <c r="Z451" s="6" t="n"/>
      <c r="AB451" s="9" t="n"/>
      <c r="AC451" s="9" t="n"/>
      <c r="AD451" s="9" t="n"/>
      <c r="AE451" s="9" t="n"/>
      <c r="AF451" s="9" t="n"/>
      <c r="AG451" s="9" t="n"/>
      <c r="AH451" s="9" t="n"/>
      <c r="AI451" s="9" t="n"/>
      <c r="AJ451" s="9" t="n"/>
      <c r="AK451" s="9" t="n"/>
      <c r="AL451" s="9" t="n"/>
      <c r="AM451" s="10" t="n"/>
    </row>
    <row r="452" ht="12.75" customHeight="1" s="562">
      <c r="E452" s="55" t="n"/>
      <c r="N452" s="10" t="n"/>
      <c r="O452" s="6" t="n"/>
      <c r="T452" s="6" t="n"/>
      <c r="Z452" s="6" t="n"/>
      <c r="AB452" s="9" t="n"/>
      <c r="AC452" s="9" t="n"/>
      <c r="AD452" s="9" t="n"/>
      <c r="AE452" s="9" t="n"/>
      <c r="AF452" s="9" t="n"/>
      <c r="AG452" s="9" t="n"/>
      <c r="AH452" s="9" t="n"/>
      <c r="AI452" s="9" t="n"/>
      <c r="AJ452" s="9" t="n"/>
      <c r="AK452" s="9" t="n"/>
      <c r="AL452" s="9" t="n"/>
      <c r="AM452" s="10" t="n"/>
    </row>
    <row r="453" ht="12.75" customHeight="1" s="562">
      <c r="E453" s="55" t="n"/>
      <c r="N453" s="10" t="n"/>
      <c r="O453" s="6" t="n"/>
      <c r="T453" s="6" t="n"/>
      <c r="Z453" s="6" t="n"/>
      <c r="AB453" s="9" t="n"/>
      <c r="AC453" s="9" t="n"/>
      <c r="AD453" s="9" t="n"/>
      <c r="AE453" s="9" t="n"/>
      <c r="AF453" s="9" t="n"/>
      <c r="AG453" s="9" t="n"/>
      <c r="AH453" s="9" t="n"/>
      <c r="AI453" s="9" t="n"/>
      <c r="AJ453" s="9" t="n"/>
      <c r="AK453" s="9" t="n"/>
      <c r="AL453" s="9" t="n"/>
      <c r="AM453" s="10" t="n"/>
    </row>
    <row r="454" ht="12.75" customHeight="1" s="562">
      <c r="E454" s="55" t="n"/>
      <c r="N454" s="10" t="n"/>
      <c r="O454" s="6" t="n"/>
      <c r="T454" s="6" t="n"/>
      <c r="Z454" s="6" t="n"/>
      <c r="AB454" s="9" t="n"/>
      <c r="AC454" s="9" t="n"/>
      <c r="AD454" s="9" t="n"/>
      <c r="AE454" s="9" t="n"/>
      <c r="AF454" s="9" t="n"/>
      <c r="AG454" s="9" t="n"/>
      <c r="AH454" s="9" t="n"/>
      <c r="AI454" s="9" t="n"/>
      <c r="AJ454" s="9" t="n"/>
      <c r="AK454" s="9" t="n"/>
      <c r="AL454" s="9" t="n"/>
      <c r="AM454" s="10" t="n"/>
    </row>
    <row r="455" ht="12.75" customHeight="1" s="562">
      <c r="E455" s="55" t="n"/>
      <c r="N455" s="10" t="n"/>
      <c r="O455" s="6" t="n"/>
      <c r="T455" s="6" t="n"/>
      <c r="Z455" s="6" t="n"/>
      <c r="AB455" s="9" t="n"/>
      <c r="AC455" s="9" t="n"/>
      <c r="AD455" s="9" t="n"/>
      <c r="AE455" s="9" t="n"/>
      <c r="AF455" s="9" t="n"/>
      <c r="AG455" s="9" t="n"/>
      <c r="AH455" s="9" t="n"/>
      <c r="AI455" s="9" t="n"/>
      <c r="AJ455" s="9" t="n"/>
      <c r="AK455" s="9" t="n"/>
      <c r="AL455" s="9" t="n"/>
      <c r="AM455" s="10" t="n"/>
    </row>
    <row r="456" ht="12.75" customHeight="1" s="562">
      <c r="E456" s="55" t="n"/>
      <c r="N456" s="10" t="n"/>
      <c r="O456" s="6" t="n"/>
      <c r="T456" s="6" t="n"/>
      <c r="Z456" s="6" t="n"/>
      <c r="AB456" s="9" t="n"/>
      <c r="AC456" s="9" t="n"/>
      <c r="AD456" s="9" t="n"/>
      <c r="AE456" s="9" t="n"/>
      <c r="AF456" s="9" t="n"/>
      <c r="AG456" s="9" t="n"/>
      <c r="AH456" s="9" t="n"/>
      <c r="AI456" s="9" t="n"/>
      <c r="AJ456" s="9" t="n"/>
      <c r="AK456" s="9" t="n"/>
      <c r="AL456" s="9" t="n"/>
      <c r="AM456" s="10" t="n"/>
    </row>
    <row r="457" ht="12.75" customHeight="1" s="562">
      <c r="E457" s="55" t="n"/>
      <c r="N457" s="10" t="n"/>
      <c r="O457" s="6" t="n"/>
      <c r="T457" s="6" t="n"/>
      <c r="Z457" s="6" t="n"/>
      <c r="AB457" s="9" t="n"/>
      <c r="AC457" s="9" t="n"/>
      <c r="AD457" s="9" t="n"/>
      <c r="AE457" s="9" t="n"/>
      <c r="AF457" s="9" t="n"/>
      <c r="AG457" s="9" t="n"/>
      <c r="AH457" s="9" t="n"/>
      <c r="AI457" s="9" t="n"/>
      <c r="AJ457" s="9" t="n"/>
      <c r="AK457" s="9" t="n"/>
      <c r="AL457" s="9" t="n"/>
      <c r="AM457" s="10" t="n"/>
    </row>
    <row r="458" ht="12.75" customHeight="1" s="562">
      <c r="E458" s="55" t="n"/>
      <c r="N458" s="10" t="n"/>
      <c r="O458" s="6" t="n"/>
      <c r="T458" s="6" t="n"/>
      <c r="Z458" s="6" t="n"/>
      <c r="AB458" s="9" t="n"/>
      <c r="AC458" s="9" t="n"/>
      <c r="AD458" s="9" t="n"/>
      <c r="AE458" s="9" t="n"/>
      <c r="AF458" s="9" t="n"/>
      <c r="AG458" s="9" t="n"/>
      <c r="AH458" s="9" t="n"/>
      <c r="AI458" s="9" t="n"/>
      <c r="AJ458" s="9" t="n"/>
      <c r="AK458" s="9" t="n"/>
      <c r="AL458" s="9" t="n"/>
      <c r="AM458" s="10" t="n"/>
    </row>
    <row r="459" ht="12.75" customHeight="1" s="562">
      <c r="E459" s="55" t="n"/>
      <c r="N459" s="10" t="n"/>
      <c r="O459" s="6" t="n"/>
      <c r="T459" s="6" t="n"/>
      <c r="Z459" s="6" t="n"/>
      <c r="AB459" s="9" t="n"/>
      <c r="AC459" s="9" t="n"/>
      <c r="AD459" s="9" t="n"/>
      <c r="AE459" s="9" t="n"/>
      <c r="AF459" s="9" t="n"/>
      <c r="AG459" s="9" t="n"/>
      <c r="AH459" s="9" t="n"/>
      <c r="AI459" s="9" t="n"/>
      <c r="AJ459" s="9" t="n"/>
      <c r="AK459" s="9" t="n"/>
      <c r="AL459" s="9" t="n"/>
      <c r="AM459" s="10" t="n"/>
    </row>
    <row r="460" ht="12.75" customHeight="1" s="562">
      <c r="E460" s="55" t="n"/>
      <c r="N460" s="10" t="n"/>
      <c r="O460" s="6" t="n"/>
      <c r="T460" s="6" t="n"/>
      <c r="Z460" s="6" t="n"/>
      <c r="AB460" s="9" t="n"/>
      <c r="AC460" s="9" t="n"/>
      <c r="AD460" s="9" t="n"/>
      <c r="AE460" s="9" t="n"/>
      <c r="AF460" s="9" t="n"/>
      <c r="AG460" s="9" t="n"/>
      <c r="AH460" s="9" t="n"/>
      <c r="AI460" s="9" t="n"/>
      <c r="AJ460" s="9" t="n"/>
      <c r="AK460" s="9" t="n"/>
      <c r="AL460" s="9" t="n"/>
      <c r="AM460" s="10" t="n"/>
    </row>
    <row r="461" ht="12.75" customHeight="1" s="562">
      <c r="E461" s="55" t="n"/>
      <c r="N461" s="10" t="n"/>
      <c r="O461" s="6" t="n"/>
      <c r="T461" s="6" t="n"/>
      <c r="Z461" s="6" t="n"/>
      <c r="AB461" s="9" t="n"/>
      <c r="AC461" s="9" t="n"/>
      <c r="AD461" s="9" t="n"/>
      <c r="AE461" s="9" t="n"/>
      <c r="AF461" s="9" t="n"/>
      <c r="AG461" s="9" t="n"/>
      <c r="AH461" s="9" t="n"/>
      <c r="AI461" s="9" t="n"/>
      <c r="AJ461" s="9" t="n"/>
      <c r="AK461" s="9" t="n"/>
      <c r="AL461" s="9" t="n"/>
      <c r="AM461" s="10" t="n"/>
    </row>
    <row r="462" ht="12.75" customHeight="1" s="562">
      <c r="E462" s="55" t="n"/>
      <c r="N462" s="10" t="n"/>
      <c r="O462" s="6" t="n"/>
      <c r="T462" s="6" t="n"/>
      <c r="Z462" s="6" t="n"/>
      <c r="AB462" s="9" t="n"/>
      <c r="AC462" s="9" t="n"/>
      <c r="AD462" s="9" t="n"/>
      <c r="AE462" s="9" t="n"/>
      <c r="AF462" s="9" t="n"/>
      <c r="AG462" s="9" t="n"/>
      <c r="AH462" s="9" t="n"/>
      <c r="AI462" s="9" t="n"/>
      <c r="AJ462" s="9" t="n"/>
      <c r="AK462" s="9" t="n"/>
      <c r="AL462" s="9" t="n"/>
      <c r="AM462" s="10" t="n"/>
    </row>
    <row r="463" ht="12.75" customHeight="1" s="562">
      <c r="E463" s="55" t="n"/>
      <c r="N463" s="10" t="n"/>
      <c r="O463" s="6" t="n"/>
      <c r="T463" s="6" t="n"/>
      <c r="Z463" s="6" t="n"/>
      <c r="AB463" s="9" t="n"/>
      <c r="AC463" s="9" t="n"/>
      <c r="AD463" s="9" t="n"/>
      <c r="AE463" s="9" t="n"/>
      <c r="AF463" s="9" t="n"/>
      <c r="AG463" s="9" t="n"/>
      <c r="AH463" s="9" t="n"/>
      <c r="AI463" s="9" t="n"/>
      <c r="AJ463" s="9" t="n"/>
      <c r="AK463" s="9" t="n"/>
      <c r="AL463" s="9" t="n"/>
      <c r="AM463" s="10" t="n"/>
    </row>
    <row r="464" ht="12.75" customHeight="1" s="562">
      <c r="E464" s="55" t="n"/>
      <c r="N464" s="10" t="n"/>
      <c r="O464" s="6" t="n"/>
      <c r="T464" s="6" t="n"/>
      <c r="Z464" s="6" t="n"/>
      <c r="AB464" s="9" t="n"/>
      <c r="AC464" s="9" t="n"/>
      <c r="AD464" s="9" t="n"/>
      <c r="AE464" s="9" t="n"/>
      <c r="AF464" s="9" t="n"/>
      <c r="AG464" s="9" t="n"/>
      <c r="AH464" s="9" t="n"/>
      <c r="AI464" s="9" t="n"/>
      <c r="AJ464" s="9" t="n"/>
      <c r="AK464" s="9" t="n"/>
      <c r="AL464" s="9" t="n"/>
      <c r="AM464" s="10" t="n"/>
    </row>
    <row r="465" ht="12.75" customHeight="1" s="562">
      <c r="E465" s="55" t="n"/>
      <c r="N465" s="10" t="n"/>
      <c r="O465" s="6" t="n"/>
      <c r="T465" s="6" t="n"/>
      <c r="Z465" s="6" t="n"/>
      <c r="AB465" s="9" t="n"/>
      <c r="AC465" s="9" t="n"/>
      <c r="AD465" s="9" t="n"/>
      <c r="AE465" s="9" t="n"/>
      <c r="AF465" s="9" t="n"/>
      <c r="AG465" s="9" t="n"/>
      <c r="AH465" s="9" t="n"/>
      <c r="AI465" s="9" t="n"/>
      <c r="AJ465" s="9" t="n"/>
      <c r="AK465" s="9" t="n"/>
      <c r="AL465" s="9" t="n"/>
      <c r="AM465" s="10" t="n"/>
    </row>
    <row r="466" ht="12.75" customHeight="1" s="562">
      <c r="E466" s="55" t="n"/>
      <c r="N466" s="10" t="n"/>
      <c r="O466" s="6" t="n"/>
      <c r="T466" s="6" t="n"/>
      <c r="Z466" s="6" t="n"/>
      <c r="AB466" s="9" t="n"/>
      <c r="AC466" s="9" t="n"/>
      <c r="AD466" s="9" t="n"/>
      <c r="AE466" s="9" t="n"/>
      <c r="AF466" s="9" t="n"/>
      <c r="AG466" s="9" t="n"/>
      <c r="AH466" s="9" t="n"/>
      <c r="AI466" s="9" t="n"/>
      <c r="AJ466" s="9" t="n"/>
      <c r="AK466" s="9" t="n"/>
      <c r="AL466" s="9" t="n"/>
      <c r="AM466" s="10" t="n"/>
    </row>
    <row r="467" ht="12.75" customHeight="1" s="562">
      <c r="E467" s="55" t="n"/>
      <c r="N467" s="10" t="n"/>
      <c r="O467" s="6" t="n"/>
      <c r="T467" s="6" t="n"/>
      <c r="Z467" s="6" t="n"/>
      <c r="AB467" s="9" t="n"/>
      <c r="AC467" s="9" t="n"/>
      <c r="AD467" s="9" t="n"/>
      <c r="AE467" s="9" t="n"/>
      <c r="AF467" s="9" t="n"/>
      <c r="AG467" s="9" t="n"/>
      <c r="AH467" s="9" t="n"/>
      <c r="AI467" s="9" t="n"/>
      <c r="AJ467" s="9" t="n"/>
      <c r="AK467" s="9" t="n"/>
      <c r="AL467" s="9" t="n"/>
      <c r="AM467" s="10" t="n"/>
    </row>
    <row r="468" ht="12.75" customHeight="1" s="562">
      <c r="E468" s="55" t="n"/>
      <c r="N468" s="10" t="n"/>
      <c r="O468" s="6" t="n"/>
      <c r="T468" s="6" t="n"/>
      <c r="Z468" s="6" t="n"/>
      <c r="AB468" s="9" t="n"/>
      <c r="AC468" s="9" t="n"/>
      <c r="AD468" s="9" t="n"/>
      <c r="AE468" s="9" t="n"/>
      <c r="AF468" s="9" t="n"/>
      <c r="AG468" s="9" t="n"/>
      <c r="AH468" s="9" t="n"/>
      <c r="AI468" s="9" t="n"/>
      <c r="AJ468" s="9" t="n"/>
      <c r="AK468" s="9" t="n"/>
      <c r="AL468" s="9" t="n"/>
      <c r="AM468" s="10" t="n"/>
    </row>
    <row r="469" ht="12.75" customHeight="1" s="562">
      <c r="E469" s="55" t="n"/>
      <c r="N469" s="10" t="n"/>
      <c r="O469" s="6" t="n"/>
      <c r="T469" s="6" t="n"/>
      <c r="Z469" s="6" t="n"/>
      <c r="AB469" s="9" t="n"/>
      <c r="AC469" s="9" t="n"/>
      <c r="AD469" s="9" t="n"/>
      <c r="AE469" s="9" t="n"/>
      <c r="AF469" s="9" t="n"/>
      <c r="AG469" s="9" t="n"/>
      <c r="AH469" s="9" t="n"/>
      <c r="AI469" s="9" t="n"/>
      <c r="AJ469" s="9" t="n"/>
      <c r="AK469" s="9" t="n"/>
      <c r="AL469" s="9" t="n"/>
      <c r="AM469" s="10" t="n"/>
    </row>
    <row r="470" ht="12.75" customHeight="1" s="562">
      <c r="E470" s="55" t="n"/>
      <c r="N470" s="10" t="n"/>
      <c r="O470" s="6" t="n"/>
      <c r="T470" s="6" t="n"/>
      <c r="Z470" s="6" t="n"/>
      <c r="AB470" s="9" t="n"/>
      <c r="AC470" s="9" t="n"/>
      <c r="AD470" s="9" t="n"/>
      <c r="AE470" s="9" t="n"/>
      <c r="AF470" s="9" t="n"/>
      <c r="AG470" s="9" t="n"/>
      <c r="AH470" s="9" t="n"/>
      <c r="AI470" s="9" t="n"/>
      <c r="AJ470" s="9" t="n"/>
      <c r="AK470" s="9" t="n"/>
      <c r="AL470" s="9" t="n"/>
      <c r="AM470" s="10" t="n"/>
    </row>
    <row r="471" ht="12.75" customHeight="1" s="562">
      <c r="E471" s="55" t="n"/>
      <c r="N471" s="10" t="n"/>
      <c r="O471" s="6" t="n"/>
      <c r="T471" s="6" t="n"/>
      <c r="Z471" s="6" t="n"/>
      <c r="AB471" s="9" t="n"/>
      <c r="AC471" s="9" t="n"/>
      <c r="AD471" s="9" t="n"/>
      <c r="AE471" s="9" t="n"/>
      <c r="AF471" s="9" t="n"/>
      <c r="AG471" s="9" t="n"/>
      <c r="AH471" s="9" t="n"/>
      <c r="AI471" s="9" t="n"/>
      <c r="AJ471" s="9" t="n"/>
      <c r="AK471" s="9" t="n"/>
      <c r="AL471" s="9" t="n"/>
      <c r="AM471" s="10" t="n"/>
    </row>
    <row r="472" ht="12.75" customHeight="1" s="562">
      <c r="E472" s="55" t="n"/>
      <c r="N472" s="10" t="n"/>
      <c r="O472" s="6" t="n"/>
      <c r="T472" s="6" t="n"/>
      <c r="Z472" s="6" t="n"/>
      <c r="AB472" s="9" t="n"/>
      <c r="AC472" s="9" t="n"/>
      <c r="AD472" s="9" t="n"/>
      <c r="AE472" s="9" t="n"/>
      <c r="AF472" s="9" t="n"/>
      <c r="AG472" s="9" t="n"/>
      <c r="AH472" s="9" t="n"/>
      <c r="AI472" s="9" t="n"/>
      <c r="AJ472" s="9" t="n"/>
      <c r="AK472" s="9" t="n"/>
      <c r="AL472" s="9" t="n"/>
      <c r="AM472" s="10" t="n"/>
    </row>
    <row r="473" ht="12.75" customHeight="1" s="562">
      <c r="E473" s="55" t="n"/>
      <c r="N473" s="10" t="n"/>
      <c r="O473" s="6" t="n"/>
      <c r="T473" s="6" t="n"/>
      <c r="Z473" s="6" t="n"/>
      <c r="AB473" s="9" t="n"/>
      <c r="AC473" s="9" t="n"/>
      <c r="AD473" s="9" t="n"/>
      <c r="AE473" s="9" t="n"/>
      <c r="AF473" s="9" t="n"/>
      <c r="AG473" s="9" t="n"/>
      <c r="AH473" s="9" t="n"/>
      <c r="AI473" s="9" t="n"/>
      <c r="AJ473" s="9" t="n"/>
      <c r="AK473" s="9" t="n"/>
      <c r="AL473" s="9" t="n"/>
      <c r="AM473" s="10" t="n"/>
    </row>
    <row r="474" ht="12.75" customHeight="1" s="562">
      <c r="E474" s="55" t="n"/>
      <c r="N474" s="10" t="n"/>
      <c r="O474" s="6" t="n"/>
      <c r="T474" s="6" t="n"/>
      <c r="Z474" s="6" t="n"/>
      <c r="AB474" s="9" t="n"/>
      <c r="AC474" s="9" t="n"/>
      <c r="AD474" s="9" t="n"/>
      <c r="AE474" s="9" t="n"/>
      <c r="AF474" s="9" t="n"/>
      <c r="AG474" s="9" t="n"/>
      <c r="AH474" s="9" t="n"/>
      <c r="AI474" s="9" t="n"/>
      <c r="AJ474" s="9" t="n"/>
      <c r="AK474" s="9" t="n"/>
      <c r="AL474" s="9" t="n"/>
      <c r="AM474" s="10" t="n"/>
    </row>
    <row r="475" ht="12.75" customHeight="1" s="562">
      <c r="E475" s="55" t="n"/>
      <c r="N475" s="10" t="n"/>
      <c r="O475" s="6" t="n"/>
      <c r="T475" s="6" t="n"/>
      <c r="Z475" s="6" t="n"/>
      <c r="AB475" s="9" t="n"/>
      <c r="AC475" s="9" t="n"/>
      <c r="AD475" s="9" t="n"/>
      <c r="AE475" s="9" t="n"/>
      <c r="AF475" s="9" t="n"/>
      <c r="AG475" s="9" t="n"/>
      <c r="AH475" s="9" t="n"/>
      <c r="AI475" s="9" t="n"/>
      <c r="AJ475" s="9" t="n"/>
      <c r="AK475" s="9" t="n"/>
      <c r="AL475" s="9" t="n"/>
      <c r="AM475" s="10" t="n"/>
    </row>
    <row r="476" ht="12.75" customHeight="1" s="562">
      <c r="E476" s="55" t="n"/>
      <c r="N476" s="10" t="n"/>
      <c r="O476" s="6" t="n"/>
      <c r="T476" s="6" t="n"/>
      <c r="Z476" s="6" t="n"/>
      <c r="AB476" s="9" t="n"/>
      <c r="AC476" s="9" t="n"/>
      <c r="AD476" s="9" t="n"/>
      <c r="AE476" s="9" t="n"/>
      <c r="AF476" s="9" t="n"/>
      <c r="AG476" s="9" t="n"/>
      <c r="AH476" s="9" t="n"/>
      <c r="AI476" s="9" t="n"/>
      <c r="AJ476" s="9" t="n"/>
      <c r="AK476" s="9" t="n"/>
      <c r="AL476" s="9" t="n"/>
      <c r="AM476" s="10" t="n"/>
    </row>
    <row r="477" ht="12.75" customHeight="1" s="562">
      <c r="E477" s="55" t="n"/>
      <c r="N477" s="10" t="n"/>
      <c r="O477" s="6" t="n"/>
      <c r="T477" s="6" t="n"/>
      <c r="Z477" s="6" t="n"/>
      <c r="AB477" s="9" t="n"/>
      <c r="AC477" s="9" t="n"/>
      <c r="AD477" s="9" t="n"/>
      <c r="AE477" s="9" t="n"/>
      <c r="AF477" s="9" t="n"/>
      <c r="AG477" s="9" t="n"/>
      <c r="AH477" s="9" t="n"/>
      <c r="AI477" s="9" t="n"/>
      <c r="AJ477" s="9" t="n"/>
      <c r="AK477" s="9" t="n"/>
      <c r="AL477" s="9" t="n"/>
      <c r="AM477" s="10" t="n"/>
    </row>
    <row r="478" ht="12.75" customHeight="1" s="562">
      <c r="E478" s="55" t="n"/>
      <c r="N478" s="10" t="n"/>
      <c r="O478" s="6" t="n"/>
      <c r="T478" s="6" t="n"/>
      <c r="Z478" s="6" t="n"/>
      <c r="AB478" s="9" t="n"/>
      <c r="AC478" s="9" t="n"/>
      <c r="AD478" s="9" t="n"/>
      <c r="AE478" s="9" t="n"/>
      <c r="AF478" s="9" t="n"/>
      <c r="AG478" s="9" t="n"/>
      <c r="AH478" s="9" t="n"/>
      <c r="AI478" s="9" t="n"/>
      <c r="AJ478" s="9" t="n"/>
      <c r="AK478" s="9" t="n"/>
      <c r="AL478" s="9" t="n"/>
      <c r="AM478" s="10" t="n"/>
    </row>
    <row r="479" ht="12.75" customHeight="1" s="562">
      <c r="E479" s="55" t="n"/>
      <c r="N479" s="10" t="n"/>
      <c r="O479" s="6" t="n"/>
      <c r="T479" s="6" t="n"/>
      <c r="Z479" s="6" t="n"/>
      <c r="AB479" s="9" t="n"/>
      <c r="AC479" s="9" t="n"/>
      <c r="AD479" s="9" t="n"/>
      <c r="AE479" s="9" t="n"/>
      <c r="AF479" s="9" t="n"/>
      <c r="AG479" s="9" t="n"/>
      <c r="AH479" s="9" t="n"/>
      <c r="AI479" s="9" t="n"/>
      <c r="AJ479" s="9" t="n"/>
      <c r="AK479" s="9" t="n"/>
      <c r="AL479" s="9" t="n"/>
      <c r="AM479" s="10" t="n"/>
    </row>
    <row r="480" ht="12.75" customHeight="1" s="562">
      <c r="E480" s="55" t="n"/>
      <c r="N480" s="10" t="n"/>
      <c r="O480" s="6" t="n"/>
      <c r="T480" s="6" t="n"/>
      <c r="Z480" s="6" t="n"/>
      <c r="AB480" s="9" t="n"/>
      <c r="AC480" s="9" t="n"/>
      <c r="AD480" s="9" t="n"/>
      <c r="AE480" s="9" t="n"/>
      <c r="AF480" s="9" t="n"/>
      <c r="AG480" s="9" t="n"/>
      <c r="AH480" s="9" t="n"/>
      <c r="AI480" s="9" t="n"/>
      <c r="AJ480" s="9" t="n"/>
      <c r="AK480" s="9" t="n"/>
      <c r="AL480" s="9" t="n"/>
      <c r="AM480" s="10" t="n"/>
    </row>
    <row r="481" ht="12.75" customHeight="1" s="562">
      <c r="E481" s="55" t="n"/>
      <c r="N481" s="10" t="n"/>
      <c r="O481" s="6" t="n"/>
      <c r="T481" s="6" t="n"/>
      <c r="Z481" s="6" t="n"/>
      <c r="AB481" s="9" t="n"/>
      <c r="AC481" s="9" t="n"/>
      <c r="AD481" s="9" t="n"/>
      <c r="AE481" s="9" t="n"/>
      <c r="AF481" s="9" t="n"/>
      <c r="AG481" s="9" t="n"/>
      <c r="AH481" s="9" t="n"/>
      <c r="AI481" s="9" t="n"/>
      <c r="AJ481" s="9" t="n"/>
      <c r="AK481" s="9" t="n"/>
      <c r="AL481" s="9" t="n"/>
      <c r="AM481" s="10" t="n"/>
    </row>
    <row r="482" ht="12.75" customHeight="1" s="562">
      <c r="E482" s="55" t="n"/>
      <c r="N482" s="10" t="n"/>
      <c r="O482" s="6" t="n"/>
      <c r="T482" s="6" t="n"/>
      <c r="Z482" s="6" t="n"/>
      <c r="AB482" s="9" t="n"/>
      <c r="AC482" s="9" t="n"/>
      <c r="AD482" s="9" t="n"/>
      <c r="AE482" s="9" t="n"/>
      <c r="AF482" s="9" t="n"/>
      <c r="AG482" s="9" t="n"/>
      <c r="AH482" s="9" t="n"/>
      <c r="AI482" s="9" t="n"/>
      <c r="AJ482" s="9" t="n"/>
      <c r="AK482" s="9" t="n"/>
      <c r="AL482" s="9" t="n"/>
      <c r="AM482" s="10" t="n"/>
    </row>
    <row r="483" ht="12.75" customHeight="1" s="562">
      <c r="E483" s="55" t="n"/>
      <c r="N483" s="10" t="n"/>
      <c r="O483" s="6" t="n"/>
      <c r="T483" s="6" t="n"/>
      <c r="Z483" s="6" t="n"/>
      <c r="AB483" s="9" t="n"/>
      <c r="AC483" s="9" t="n"/>
      <c r="AD483" s="9" t="n"/>
      <c r="AE483" s="9" t="n"/>
      <c r="AF483" s="9" t="n"/>
      <c r="AG483" s="9" t="n"/>
      <c r="AH483" s="9" t="n"/>
      <c r="AI483" s="9" t="n"/>
      <c r="AJ483" s="9" t="n"/>
      <c r="AK483" s="9" t="n"/>
      <c r="AL483" s="9" t="n"/>
      <c r="AM483" s="10" t="n"/>
    </row>
    <row r="484" ht="12.75" customHeight="1" s="562">
      <c r="E484" s="55" t="n"/>
      <c r="N484" s="10" t="n"/>
      <c r="O484" s="6" t="n"/>
      <c r="T484" s="6" t="n"/>
      <c r="Z484" s="6" t="n"/>
      <c r="AB484" s="9" t="n"/>
      <c r="AC484" s="9" t="n"/>
      <c r="AD484" s="9" t="n"/>
      <c r="AE484" s="9" t="n"/>
      <c r="AF484" s="9" t="n"/>
      <c r="AG484" s="9" t="n"/>
      <c r="AH484" s="9" t="n"/>
      <c r="AI484" s="9" t="n"/>
      <c r="AJ484" s="9" t="n"/>
      <c r="AK484" s="9" t="n"/>
      <c r="AL484" s="9" t="n"/>
      <c r="AM484" s="10" t="n"/>
    </row>
    <row r="485" ht="12.75" customHeight="1" s="562">
      <c r="E485" s="55" t="n"/>
      <c r="N485" s="10" t="n"/>
      <c r="O485" s="6" t="n"/>
      <c r="T485" s="6" t="n"/>
      <c r="Z485" s="6" t="n"/>
      <c r="AB485" s="9" t="n"/>
      <c r="AC485" s="9" t="n"/>
      <c r="AD485" s="9" t="n"/>
      <c r="AE485" s="9" t="n"/>
      <c r="AF485" s="9" t="n"/>
      <c r="AG485" s="9" t="n"/>
      <c r="AH485" s="9" t="n"/>
      <c r="AI485" s="9" t="n"/>
      <c r="AJ485" s="9" t="n"/>
      <c r="AK485" s="9" t="n"/>
      <c r="AL485" s="9" t="n"/>
      <c r="AM485" s="10" t="n"/>
    </row>
    <row r="486" ht="12.75" customHeight="1" s="562">
      <c r="E486" s="55" t="n"/>
      <c r="N486" s="10" t="n"/>
      <c r="O486" s="6" t="n"/>
      <c r="T486" s="6" t="n"/>
      <c r="Z486" s="6" t="n"/>
      <c r="AB486" s="9" t="n"/>
      <c r="AC486" s="9" t="n"/>
      <c r="AD486" s="9" t="n"/>
      <c r="AE486" s="9" t="n"/>
      <c r="AF486" s="9" t="n"/>
      <c r="AG486" s="9" t="n"/>
      <c r="AH486" s="9" t="n"/>
      <c r="AI486" s="9" t="n"/>
      <c r="AJ486" s="9" t="n"/>
      <c r="AK486" s="9" t="n"/>
      <c r="AL486" s="9" t="n"/>
      <c r="AM486" s="10" t="n"/>
    </row>
    <row r="487" ht="12.75" customHeight="1" s="562">
      <c r="E487" s="55" t="n"/>
      <c r="N487" s="10" t="n"/>
      <c r="O487" s="6" t="n"/>
      <c r="T487" s="6" t="n"/>
      <c r="Z487" s="6" t="n"/>
      <c r="AB487" s="9" t="n"/>
      <c r="AC487" s="9" t="n"/>
      <c r="AD487" s="9" t="n"/>
      <c r="AE487" s="9" t="n"/>
      <c r="AF487" s="9" t="n"/>
      <c r="AG487" s="9" t="n"/>
      <c r="AH487" s="9" t="n"/>
      <c r="AI487" s="9" t="n"/>
      <c r="AJ487" s="9" t="n"/>
      <c r="AK487" s="9" t="n"/>
      <c r="AL487" s="9" t="n"/>
      <c r="AM487" s="10" t="n"/>
    </row>
    <row r="488" ht="12.75" customHeight="1" s="562">
      <c r="E488" s="55" t="n"/>
      <c r="N488" s="10" t="n"/>
      <c r="O488" s="6" t="n"/>
      <c r="T488" s="6" t="n"/>
      <c r="Z488" s="6" t="n"/>
      <c r="AB488" s="9" t="n"/>
      <c r="AC488" s="9" t="n"/>
      <c r="AD488" s="9" t="n"/>
      <c r="AE488" s="9" t="n"/>
      <c r="AF488" s="9" t="n"/>
      <c r="AG488" s="9" t="n"/>
      <c r="AH488" s="9" t="n"/>
      <c r="AI488" s="9" t="n"/>
      <c r="AJ488" s="9" t="n"/>
      <c r="AK488" s="9" t="n"/>
      <c r="AL488" s="9" t="n"/>
      <c r="AM488" s="10" t="n"/>
    </row>
    <row r="489" ht="12.75" customHeight="1" s="562">
      <c r="E489" s="55" t="n"/>
      <c r="N489" s="10" t="n"/>
      <c r="O489" s="6" t="n"/>
      <c r="T489" s="6" t="n"/>
      <c r="Z489" s="6" t="n"/>
      <c r="AB489" s="9" t="n"/>
      <c r="AC489" s="9" t="n"/>
      <c r="AD489" s="9" t="n"/>
      <c r="AE489" s="9" t="n"/>
      <c r="AF489" s="9" t="n"/>
      <c r="AG489" s="9" t="n"/>
      <c r="AH489" s="9" t="n"/>
      <c r="AI489" s="9" t="n"/>
      <c r="AJ489" s="9" t="n"/>
      <c r="AK489" s="9" t="n"/>
      <c r="AL489" s="9" t="n"/>
      <c r="AM489" s="10" t="n"/>
    </row>
    <row r="490" ht="12.75" customHeight="1" s="562">
      <c r="E490" s="55" t="n"/>
      <c r="N490" s="10" t="n"/>
      <c r="O490" s="6" t="n"/>
      <c r="T490" s="6" t="n"/>
      <c r="Z490" s="6" t="n"/>
      <c r="AB490" s="9" t="n"/>
      <c r="AC490" s="9" t="n"/>
      <c r="AD490" s="9" t="n"/>
      <c r="AE490" s="9" t="n"/>
      <c r="AF490" s="9" t="n"/>
      <c r="AG490" s="9" t="n"/>
      <c r="AH490" s="9" t="n"/>
      <c r="AI490" s="9" t="n"/>
      <c r="AJ490" s="9" t="n"/>
      <c r="AK490" s="9" t="n"/>
      <c r="AL490" s="9" t="n"/>
      <c r="AM490" s="10" t="n"/>
    </row>
    <row r="491" ht="12.75" customHeight="1" s="562">
      <c r="E491" s="55" t="n"/>
      <c r="N491" s="10" t="n"/>
      <c r="O491" s="6" t="n"/>
      <c r="T491" s="6" t="n"/>
      <c r="Z491" s="6" t="n"/>
      <c r="AB491" s="9" t="n"/>
      <c r="AC491" s="9" t="n"/>
      <c r="AD491" s="9" t="n"/>
      <c r="AE491" s="9" t="n"/>
      <c r="AF491" s="9" t="n"/>
      <c r="AG491" s="9" t="n"/>
      <c r="AH491" s="9" t="n"/>
      <c r="AI491" s="9" t="n"/>
      <c r="AJ491" s="9" t="n"/>
      <c r="AK491" s="9" t="n"/>
      <c r="AL491" s="9" t="n"/>
      <c r="AM491" s="10" t="n"/>
    </row>
    <row r="492" ht="12.75" customHeight="1" s="562">
      <c r="E492" s="55" t="n"/>
      <c r="N492" s="10" t="n"/>
      <c r="O492" s="6" t="n"/>
      <c r="T492" s="6" t="n"/>
      <c r="Z492" s="6" t="n"/>
      <c r="AB492" s="9" t="n"/>
      <c r="AC492" s="9" t="n"/>
      <c r="AD492" s="9" t="n"/>
      <c r="AE492" s="9" t="n"/>
      <c r="AF492" s="9" t="n"/>
      <c r="AG492" s="9" t="n"/>
      <c r="AH492" s="9" t="n"/>
      <c r="AI492" s="9" t="n"/>
      <c r="AJ492" s="9" t="n"/>
      <c r="AK492" s="9" t="n"/>
      <c r="AL492" s="9" t="n"/>
      <c r="AM492" s="10" t="n"/>
    </row>
    <row r="493" ht="12.75" customHeight="1" s="562">
      <c r="E493" s="55" t="n"/>
      <c r="N493" s="10" t="n"/>
      <c r="O493" s="6" t="n"/>
      <c r="T493" s="6" t="n"/>
      <c r="Z493" s="6" t="n"/>
      <c r="AB493" s="9" t="n"/>
      <c r="AC493" s="9" t="n"/>
      <c r="AD493" s="9" t="n"/>
      <c r="AE493" s="9" t="n"/>
      <c r="AF493" s="9" t="n"/>
      <c r="AG493" s="9" t="n"/>
      <c r="AH493" s="9" t="n"/>
      <c r="AI493" s="9" t="n"/>
      <c r="AJ493" s="9" t="n"/>
      <c r="AK493" s="9" t="n"/>
      <c r="AL493" s="9" t="n"/>
      <c r="AM493" s="10" t="n"/>
    </row>
    <row r="494" ht="12.75" customHeight="1" s="562">
      <c r="E494" s="55" t="n"/>
      <c r="N494" s="10" t="n"/>
      <c r="O494" s="6" t="n"/>
      <c r="T494" s="6" t="n"/>
      <c r="Z494" s="6" t="n"/>
      <c r="AB494" s="9" t="n"/>
      <c r="AC494" s="9" t="n"/>
      <c r="AD494" s="9" t="n"/>
      <c r="AE494" s="9" t="n"/>
      <c r="AF494" s="9" t="n"/>
      <c r="AG494" s="9" t="n"/>
      <c r="AH494" s="9" t="n"/>
      <c r="AI494" s="9" t="n"/>
      <c r="AJ494" s="9" t="n"/>
      <c r="AK494" s="9" t="n"/>
      <c r="AL494" s="9" t="n"/>
      <c r="AM494" s="10" t="n"/>
    </row>
    <row r="495" ht="12.75" customHeight="1" s="562">
      <c r="E495" s="55" t="n"/>
      <c r="N495" s="10" t="n"/>
      <c r="O495" s="6" t="n"/>
      <c r="T495" s="6" t="n"/>
      <c r="Z495" s="6" t="n"/>
      <c r="AB495" s="9" t="n"/>
      <c r="AC495" s="9" t="n"/>
      <c r="AD495" s="9" t="n"/>
      <c r="AE495" s="9" t="n"/>
      <c r="AF495" s="9" t="n"/>
      <c r="AG495" s="9" t="n"/>
      <c r="AH495" s="9" t="n"/>
      <c r="AI495" s="9" t="n"/>
      <c r="AJ495" s="9" t="n"/>
      <c r="AK495" s="9" t="n"/>
      <c r="AL495" s="9" t="n"/>
      <c r="AM495" s="10" t="n"/>
    </row>
    <row r="496" ht="12.75" customHeight="1" s="562">
      <c r="E496" s="55" t="n"/>
      <c r="N496" s="10" t="n"/>
      <c r="O496" s="6" t="n"/>
      <c r="T496" s="6" t="n"/>
      <c r="Z496" s="6" t="n"/>
      <c r="AB496" s="9" t="n"/>
      <c r="AC496" s="9" t="n"/>
      <c r="AD496" s="9" t="n"/>
      <c r="AE496" s="9" t="n"/>
      <c r="AF496" s="9" t="n"/>
      <c r="AG496" s="9" t="n"/>
      <c r="AH496" s="9" t="n"/>
      <c r="AI496" s="9" t="n"/>
      <c r="AJ496" s="9" t="n"/>
      <c r="AK496" s="9" t="n"/>
      <c r="AL496" s="9" t="n"/>
      <c r="AM496" s="10" t="n"/>
    </row>
    <row r="497" ht="12.75" customHeight="1" s="562">
      <c r="E497" s="55" t="n"/>
      <c r="N497" s="10" t="n"/>
      <c r="O497" s="6" t="n"/>
      <c r="T497" s="6" t="n"/>
      <c r="Z497" s="6" t="n"/>
      <c r="AB497" s="9" t="n"/>
      <c r="AC497" s="9" t="n"/>
      <c r="AD497" s="9" t="n"/>
      <c r="AE497" s="9" t="n"/>
      <c r="AF497" s="9" t="n"/>
      <c r="AG497" s="9" t="n"/>
      <c r="AH497" s="9" t="n"/>
      <c r="AI497" s="9" t="n"/>
      <c r="AJ497" s="9" t="n"/>
      <c r="AK497" s="9" t="n"/>
      <c r="AL497" s="9" t="n"/>
      <c r="AM497" s="10" t="n"/>
    </row>
    <row r="498" ht="12.75" customHeight="1" s="562">
      <c r="E498" s="55" t="n"/>
      <c r="N498" s="10" t="n"/>
      <c r="O498" s="6" t="n"/>
      <c r="T498" s="6" t="n"/>
      <c r="Z498" s="6" t="n"/>
      <c r="AB498" s="9" t="n"/>
      <c r="AC498" s="9" t="n"/>
      <c r="AD498" s="9" t="n"/>
      <c r="AE498" s="9" t="n"/>
      <c r="AF498" s="9" t="n"/>
      <c r="AG498" s="9" t="n"/>
      <c r="AH498" s="9" t="n"/>
      <c r="AI498" s="9" t="n"/>
      <c r="AJ498" s="9" t="n"/>
      <c r="AK498" s="9" t="n"/>
      <c r="AL498" s="9" t="n"/>
      <c r="AM498" s="10" t="n"/>
    </row>
    <row r="499" ht="12.75" customHeight="1" s="562">
      <c r="E499" s="55" t="n"/>
      <c r="N499" s="10" t="n"/>
      <c r="O499" s="6" t="n"/>
      <c r="T499" s="6" t="n"/>
      <c r="Z499" s="6" t="n"/>
      <c r="AB499" s="9" t="n"/>
      <c r="AC499" s="9" t="n"/>
      <c r="AD499" s="9" t="n"/>
      <c r="AE499" s="9" t="n"/>
      <c r="AF499" s="9" t="n"/>
      <c r="AG499" s="9" t="n"/>
      <c r="AH499" s="9" t="n"/>
      <c r="AI499" s="9" t="n"/>
      <c r="AJ499" s="9" t="n"/>
      <c r="AK499" s="9" t="n"/>
      <c r="AL499" s="9" t="n"/>
      <c r="AM499" s="10" t="n"/>
    </row>
    <row r="500" ht="12.75" customHeight="1" s="562">
      <c r="E500" s="55" t="n"/>
      <c r="N500" s="10" t="n"/>
      <c r="O500" s="6" t="n"/>
      <c r="T500" s="6" t="n"/>
      <c r="Z500" s="6" t="n"/>
      <c r="AB500" s="9" t="n"/>
      <c r="AC500" s="9" t="n"/>
      <c r="AD500" s="9" t="n"/>
      <c r="AE500" s="9" t="n"/>
      <c r="AF500" s="9" t="n"/>
      <c r="AG500" s="9" t="n"/>
      <c r="AH500" s="9" t="n"/>
      <c r="AI500" s="9" t="n"/>
      <c r="AJ500" s="9" t="n"/>
      <c r="AK500" s="9" t="n"/>
      <c r="AL500" s="9" t="n"/>
      <c r="AM500" s="10" t="n"/>
    </row>
    <row r="501" ht="12.75" customHeight="1" s="562">
      <c r="E501" s="55" t="n"/>
      <c r="N501" s="10" t="n"/>
      <c r="O501" s="6" t="n"/>
      <c r="T501" s="6" t="n"/>
      <c r="Z501" s="6" t="n"/>
      <c r="AB501" s="9" t="n"/>
      <c r="AC501" s="9" t="n"/>
      <c r="AD501" s="9" t="n"/>
      <c r="AE501" s="9" t="n"/>
      <c r="AF501" s="9" t="n"/>
      <c r="AG501" s="9" t="n"/>
      <c r="AH501" s="9" t="n"/>
      <c r="AI501" s="9" t="n"/>
      <c r="AJ501" s="9" t="n"/>
      <c r="AK501" s="9" t="n"/>
      <c r="AL501" s="9" t="n"/>
      <c r="AM501" s="10" t="n"/>
    </row>
    <row r="502" ht="12.75" customHeight="1" s="562">
      <c r="E502" s="55" t="n"/>
      <c r="N502" s="10" t="n"/>
      <c r="O502" s="6" t="n"/>
      <c r="T502" s="6" t="n"/>
      <c r="Z502" s="6" t="n"/>
      <c r="AB502" s="9" t="n"/>
      <c r="AC502" s="9" t="n"/>
      <c r="AD502" s="9" t="n"/>
      <c r="AE502" s="9" t="n"/>
      <c r="AF502" s="9" t="n"/>
      <c r="AG502" s="9" t="n"/>
      <c r="AH502" s="9" t="n"/>
      <c r="AI502" s="9" t="n"/>
      <c r="AJ502" s="9" t="n"/>
      <c r="AK502" s="9" t="n"/>
      <c r="AL502" s="9" t="n"/>
      <c r="AM502" s="10" t="n"/>
    </row>
    <row r="503" ht="12.75" customHeight="1" s="562">
      <c r="E503" s="55" t="n"/>
      <c r="N503" s="10" t="n"/>
      <c r="O503" s="6" t="n"/>
      <c r="T503" s="6" t="n"/>
      <c r="Z503" s="6" t="n"/>
      <c r="AB503" s="9" t="n"/>
      <c r="AC503" s="9" t="n"/>
      <c r="AD503" s="9" t="n"/>
      <c r="AE503" s="9" t="n"/>
      <c r="AF503" s="9" t="n"/>
      <c r="AG503" s="9" t="n"/>
      <c r="AH503" s="9" t="n"/>
      <c r="AI503" s="9" t="n"/>
      <c r="AJ503" s="9" t="n"/>
      <c r="AK503" s="9" t="n"/>
      <c r="AL503" s="9" t="n"/>
      <c r="AM503" s="10" t="n"/>
    </row>
    <row r="504" ht="12.75" customHeight="1" s="562">
      <c r="E504" s="55" t="n"/>
      <c r="N504" s="10" t="n"/>
      <c r="O504" s="6" t="n"/>
      <c r="T504" s="6" t="n"/>
      <c r="Z504" s="6" t="n"/>
      <c r="AB504" s="9" t="n"/>
      <c r="AC504" s="9" t="n"/>
      <c r="AD504" s="9" t="n"/>
      <c r="AE504" s="9" t="n"/>
      <c r="AF504" s="9" t="n"/>
      <c r="AG504" s="9" t="n"/>
      <c r="AH504" s="9" t="n"/>
      <c r="AI504" s="9" t="n"/>
      <c r="AJ504" s="9" t="n"/>
      <c r="AK504" s="9" t="n"/>
      <c r="AL504" s="9" t="n"/>
      <c r="AM504" s="10" t="n"/>
    </row>
    <row r="505" ht="12.75" customHeight="1" s="562">
      <c r="E505" s="55" t="n"/>
      <c r="N505" s="10" t="n"/>
      <c r="O505" s="6" t="n"/>
      <c r="T505" s="6" t="n"/>
      <c r="Z505" s="6" t="n"/>
      <c r="AB505" s="9" t="n"/>
      <c r="AC505" s="9" t="n"/>
      <c r="AD505" s="9" t="n"/>
      <c r="AE505" s="9" t="n"/>
      <c r="AF505" s="9" t="n"/>
      <c r="AG505" s="9" t="n"/>
      <c r="AH505" s="9" t="n"/>
      <c r="AI505" s="9" t="n"/>
      <c r="AJ505" s="9" t="n"/>
      <c r="AK505" s="9" t="n"/>
      <c r="AL505" s="9" t="n"/>
      <c r="AM505" s="10" t="n"/>
    </row>
    <row r="506" ht="12.75" customHeight="1" s="562">
      <c r="E506" s="55" t="n"/>
      <c r="N506" s="10" t="n"/>
      <c r="O506" s="6" t="n"/>
      <c r="T506" s="6" t="n"/>
      <c r="Z506" s="6" t="n"/>
      <c r="AB506" s="9" t="n"/>
      <c r="AC506" s="9" t="n"/>
      <c r="AD506" s="9" t="n"/>
      <c r="AE506" s="9" t="n"/>
      <c r="AF506" s="9" t="n"/>
      <c r="AG506" s="9" t="n"/>
      <c r="AH506" s="9" t="n"/>
      <c r="AI506" s="9" t="n"/>
      <c r="AJ506" s="9" t="n"/>
      <c r="AK506" s="9" t="n"/>
      <c r="AL506" s="9" t="n"/>
      <c r="AM506" s="10" t="n"/>
    </row>
    <row r="507" ht="12.75" customHeight="1" s="562">
      <c r="E507" s="55" t="n"/>
      <c r="N507" s="10" t="n"/>
      <c r="O507" s="6" t="n"/>
      <c r="T507" s="6" t="n"/>
      <c r="Z507" s="6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  <c r="AK507" s="9" t="n"/>
      <c r="AL507" s="9" t="n"/>
      <c r="AM507" s="10" t="n"/>
    </row>
    <row r="508" ht="12.75" customHeight="1" s="562">
      <c r="E508" s="55" t="n"/>
      <c r="N508" s="10" t="n"/>
      <c r="O508" s="6" t="n"/>
      <c r="T508" s="6" t="n"/>
      <c r="Z508" s="6" t="n"/>
      <c r="AB508" s="9" t="n"/>
      <c r="AC508" s="9" t="n"/>
      <c r="AD508" s="9" t="n"/>
      <c r="AE508" s="9" t="n"/>
      <c r="AF508" s="9" t="n"/>
      <c r="AG508" s="9" t="n"/>
      <c r="AH508" s="9" t="n"/>
      <c r="AI508" s="9" t="n"/>
      <c r="AJ508" s="9" t="n"/>
      <c r="AK508" s="9" t="n"/>
      <c r="AL508" s="9" t="n"/>
      <c r="AM508" s="10" t="n"/>
    </row>
    <row r="509" ht="12.75" customHeight="1" s="562">
      <c r="E509" s="55" t="n"/>
      <c r="N509" s="10" t="n"/>
      <c r="O509" s="6" t="n"/>
      <c r="T509" s="6" t="n"/>
      <c r="Z509" s="6" t="n"/>
      <c r="AB509" s="9" t="n"/>
      <c r="AC509" s="9" t="n"/>
      <c r="AD509" s="9" t="n"/>
      <c r="AE509" s="9" t="n"/>
      <c r="AF509" s="9" t="n"/>
      <c r="AG509" s="9" t="n"/>
      <c r="AH509" s="9" t="n"/>
      <c r="AI509" s="9" t="n"/>
      <c r="AJ509" s="9" t="n"/>
      <c r="AK509" s="9" t="n"/>
      <c r="AL509" s="9" t="n"/>
      <c r="AM509" s="10" t="n"/>
    </row>
    <row r="510" ht="12.75" customHeight="1" s="562">
      <c r="E510" s="55" t="n"/>
      <c r="N510" s="10" t="n"/>
      <c r="O510" s="6" t="n"/>
      <c r="T510" s="6" t="n"/>
      <c r="Z510" s="6" t="n"/>
      <c r="AB510" s="9" t="n"/>
      <c r="AC510" s="9" t="n"/>
      <c r="AD510" s="9" t="n"/>
      <c r="AE510" s="9" t="n"/>
      <c r="AF510" s="9" t="n"/>
      <c r="AG510" s="9" t="n"/>
      <c r="AH510" s="9" t="n"/>
      <c r="AI510" s="9" t="n"/>
      <c r="AJ510" s="9" t="n"/>
      <c r="AK510" s="9" t="n"/>
      <c r="AL510" s="9" t="n"/>
      <c r="AM510" s="10" t="n"/>
    </row>
    <row r="511" ht="12.75" customHeight="1" s="562">
      <c r="E511" s="55" t="n"/>
      <c r="N511" s="10" t="n"/>
      <c r="O511" s="6" t="n"/>
      <c r="T511" s="6" t="n"/>
      <c r="Z511" s="6" t="n"/>
      <c r="AB511" s="9" t="n"/>
      <c r="AC511" s="9" t="n"/>
      <c r="AD511" s="9" t="n"/>
      <c r="AE511" s="9" t="n"/>
      <c r="AF511" s="9" t="n"/>
      <c r="AG511" s="9" t="n"/>
      <c r="AH511" s="9" t="n"/>
      <c r="AI511" s="9" t="n"/>
      <c r="AJ511" s="9" t="n"/>
      <c r="AK511" s="9" t="n"/>
      <c r="AL511" s="9" t="n"/>
      <c r="AM511" s="10" t="n"/>
    </row>
    <row r="512" ht="12.75" customHeight="1" s="562">
      <c r="E512" s="55" t="n"/>
      <c r="N512" s="10" t="n"/>
      <c r="O512" s="6" t="n"/>
      <c r="T512" s="6" t="n"/>
      <c r="Z512" s="6" t="n"/>
      <c r="AB512" s="9" t="n"/>
      <c r="AC512" s="9" t="n"/>
      <c r="AD512" s="9" t="n"/>
      <c r="AE512" s="9" t="n"/>
      <c r="AF512" s="9" t="n"/>
      <c r="AG512" s="9" t="n"/>
      <c r="AH512" s="9" t="n"/>
      <c r="AI512" s="9" t="n"/>
      <c r="AJ512" s="9" t="n"/>
      <c r="AK512" s="9" t="n"/>
      <c r="AL512" s="9" t="n"/>
      <c r="AM512" s="10" t="n"/>
    </row>
    <row r="513" ht="12.75" customHeight="1" s="562">
      <c r="E513" s="55" t="n"/>
      <c r="N513" s="10" t="n"/>
      <c r="O513" s="6" t="n"/>
      <c r="T513" s="6" t="n"/>
      <c r="Z513" s="6" t="n"/>
      <c r="AB513" s="9" t="n"/>
      <c r="AC513" s="9" t="n"/>
      <c r="AD513" s="9" t="n"/>
      <c r="AE513" s="9" t="n"/>
      <c r="AF513" s="9" t="n"/>
      <c r="AG513" s="9" t="n"/>
      <c r="AH513" s="9" t="n"/>
      <c r="AI513" s="9" t="n"/>
      <c r="AJ513" s="9" t="n"/>
      <c r="AK513" s="9" t="n"/>
      <c r="AL513" s="9" t="n"/>
      <c r="AM513" s="10" t="n"/>
    </row>
    <row r="514" ht="12.75" customHeight="1" s="562">
      <c r="E514" s="55" t="n"/>
      <c r="N514" s="10" t="n"/>
      <c r="O514" s="6" t="n"/>
      <c r="T514" s="6" t="n"/>
      <c r="Z514" s="6" t="n"/>
      <c r="AB514" s="9" t="n"/>
      <c r="AC514" s="9" t="n"/>
      <c r="AD514" s="9" t="n"/>
      <c r="AE514" s="9" t="n"/>
      <c r="AF514" s="9" t="n"/>
      <c r="AG514" s="9" t="n"/>
      <c r="AH514" s="9" t="n"/>
      <c r="AI514" s="9" t="n"/>
      <c r="AJ514" s="9" t="n"/>
      <c r="AK514" s="9" t="n"/>
      <c r="AL514" s="9" t="n"/>
      <c r="AM514" s="10" t="n"/>
    </row>
    <row r="515" ht="12.75" customHeight="1" s="562">
      <c r="E515" s="55" t="n"/>
      <c r="N515" s="10" t="n"/>
      <c r="O515" s="6" t="n"/>
      <c r="T515" s="6" t="n"/>
      <c r="Z515" s="6" t="n"/>
      <c r="AB515" s="9" t="n"/>
      <c r="AC515" s="9" t="n"/>
      <c r="AD515" s="9" t="n"/>
      <c r="AE515" s="9" t="n"/>
      <c r="AF515" s="9" t="n"/>
      <c r="AG515" s="9" t="n"/>
      <c r="AH515" s="9" t="n"/>
      <c r="AI515" s="9" t="n"/>
      <c r="AJ515" s="9" t="n"/>
      <c r="AK515" s="9" t="n"/>
      <c r="AL515" s="9" t="n"/>
      <c r="AM515" s="10" t="n"/>
    </row>
    <row r="516" ht="12.75" customHeight="1" s="562">
      <c r="E516" s="55" t="n"/>
      <c r="N516" s="10" t="n"/>
      <c r="O516" s="6" t="n"/>
      <c r="T516" s="6" t="n"/>
      <c r="Z516" s="6" t="n"/>
      <c r="AB516" s="9" t="n"/>
      <c r="AC516" s="9" t="n"/>
      <c r="AD516" s="9" t="n"/>
      <c r="AE516" s="9" t="n"/>
      <c r="AF516" s="9" t="n"/>
      <c r="AG516" s="9" t="n"/>
      <c r="AH516" s="9" t="n"/>
      <c r="AI516" s="9" t="n"/>
      <c r="AJ516" s="9" t="n"/>
      <c r="AK516" s="9" t="n"/>
      <c r="AL516" s="9" t="n"/>
      <c r="AM516" s="10" t="n"/>
    </row>
    <row r="517" ht="12.75" customHeight="1" s="562">
      <c r="E517" s="55" t="n"/>
      <c r="N517" s="10" t="n"/>
      <c r="O517" s="6" t="n"/>
      <c r="T517" s="6" t="n"/>
      <c r="Z517" s="6" t="n"/>
      <c r="AB517" s="9" t="n"/>
      <c r="AC517" s="9" t="n"/>
      <c r="AD517" s="9" t="n"/>
      <c r="AE517" s="9" t="n"/>
      <c r="AF517" s="9" t="n"/>
      <c r="AG517" s="9" t="n"/>
      <c r="AH517" s="9" t="n"/>
      <c r="AI517" s="9" t="n"/>
      <c r="AJ517" s="9" t="n"/>
      <c r="AK517" s="9" t="n"/>
      <c r="AL517" s="9" t="n"/>
      <c r="AM517" s="10" t="n"/>
    </row>
    <row r="518" ht="12.75" customHeight="1" s="562">
      <c r="E518" s="55" t="n"/>
      <c r="N518" s="10" t="n"/>
      <c r="O518" s="6" t="n"/>
      <c r="T518" s="6" t="n"/>
      <c r="Z518" s="6" t="n"/>
      <c r="AB518" s="9" t="n"/>
      <c r="AC518" s="9" t="n"/>
      <c r="AD518" s="9" t="n"/>
      <c r="AE518" s="9" t="n"/>
      <c r="AF518" s="9" t="n"/>
      <c r="AG518" s="9" t="n"/>
      <c r="AH518" s="9" t="n"/>
      <c r="AI518" s="9" t="n"/>
      <c r="AJ518" s="9" t="n"/>
      <c r="AK518" s="9" t="n"/>
      <c r="AL518" s="9" t="n"/>
      <c r="AM518" s="10" t="n"/>
    </row>
    <row r="519" ht="12.75" customHeight="1" s="562">
      <c r="E519" s="55" t="n"/>
      <c r="N519" s="10" t="n"/>
      <c r="O519" s="6" t="n"/>
      <c r="T519" s="6" t="n"/>
      <c r="Z519" s="6" t="n"/>
      <c r="AB519" s="9" t="n"/>
      <c r="AC519" s="9" t="n"/>
      <c r="AD519" s="9" t="n"/>
      <c r="AE519" s="9" t="n"/>
      <c r="AF519" s="9" t="n"/>
      <c r="AG519" s="9" t="n"/>
      <c r="AH519" s="9" t="n"/>
      <c r="AI519" s="9" t="n"/>
      <c r="AJ519" s="9" t="n"/>
      <c r="AK519" s="9" t="n"/>
      <c r="AL519" s="9" t="n"/>
      <c r="AM519" s="10" t="n"/>
    </row>
    <row r="520" ht="12.75" customHeight="1" s="562">
      <c r="E520" s="55" t="n"/>
      <c r="N520" s="10" t="n"/>
      <c r="O520" s="6" t="n"/>
      <c r="T520" s="6" t="n"/>
      <c r="Z520" s="6" t="n"/>
      <c r="AB520" s="9" t="n"/>
      <c r="AC520" s="9" t="n"/>
      <c r="AD520" s="9" t="n"/>
      <c r="AE520" s="9" t="n"/>
      <c r="AF520" s="9" t="n"/>
      <c r="AG520" s="9" t="n"/>
      <c r="AH520" s="9" t="n"/>
      <c r="AI520" s="9" t="n"/>
      <c r="AJ520" s="9" t="n"/>
      <c r="AK520" s="9" t="n"/>
      <c r="AL520" s="9" t="n"/>
      <c r="AM520" s="10" t="n"/>
    </row>
    <row r="521" ht="12.75" customHeight="1" s="562">
      <c r="E521" s="55" t="n"/>
      <c r="N521" s="10" t="n"/>
      <c r="O521" s="6" t="n"/>
      <c r="T521" s="6" t="n"/>
      <c r="Z521" s="6" t="n"/>
      <c r="AB521" s="9" t="n"/>
      <c r="AC521" s="9" t="n"/>
      <c r="AD521" s="9" t="n"/>
      <c r="AE521" s="9" t="n"/>
      <c r="AF521" s="9" t="n"/>
      <c r="AG521" s="9" t="n"/>
      <c r="AH521" s="9" t="n"/>
      <c r="AI521" s="9" t="n"/>
      <c r="AJ521" s="9" t="n"/>
      <c r="AK521" s="9" t="n"/>
      <c r="AL521" s="9" t="n"/>
      <c r="AM521" s="10" t="n"/>
    </row>
    <row r="522" ht="12.75" customHeight="1" s="562">
      <c r="E522" s="55" t="n"/>
      <c r="N522" s="10" t="n"/>
      <c r="O522" s="6" t="n"/>
      <c r="T522" s="6" t="n"/>
      <c r="Z522" s="6" t="n"/>
      <c r="AB522" s="9" t="n"/>
      <c r="AC522" s="9" t="n"/>
      <c r="AD522" s="9" t="n"/>
      <c r="AE522" s="9" t="n"/>
      <c r="AF522" s="9" t="n"/>
      <c r="AG522" s="9" t="n"/>
      <c r="AH522" s="9" t="n"/>
      <c r="AI522" s="9" t="n"/>
      <c r="AJ522" s="9" t="n"/>
      <c r="AK522" s="9" t="n"/>
      <c r="AL522" s="9" t="n"/>
      <c r="AM522" s="10" t="n"/>
    </row>
    <row r="523" ht="12.75" customHeight="1" s="562">
      <c r="E523" s="55" t="n"/>
      <c r="N523" s="10" t="n"/>
      <c r="O523" s="6" t="n"/>
      <c r="T523" s="6" t="n"/>
      <c r="Z523" s="6" t="n"/>
      <c r="AB523" s="9" t="n"/>
      <c r="AC523" s="9" t="n"/>
      <c r="AD523" s="9" t="n"/>
      <c r="AE523" s="9" t="n"/>
      <c r="AF523" s="9" t="n"/>
      <c r="AG523" s="9" t="n"/>
      <c r="AH523" s="9" t="n"/>
      <c r="AI523" s="9" t="n"/>
      <c r="AJ523" s="9" t="n"/>
      <c r="AK523" s="9" t="n"/>
      <c r="AL523" s="9" t="n"/>
      <c r="AM523" s="10" t="n"/>
    </row>
    <row r="524" ht="12.75" customHeight="1" s="562">
      <c r="E524" s="55" t="n"/>
      <c r="N524" s="10" t="n"/>
      <c r="O524" s="6" t="n"/>
      <c r="T524" s="6" t="n"/>
      <c r="Z524" s="6" t="n"/>
      <c r="AB524" s="9" t="n"/>
      <c r="AC524" s="9" t="n"/>
      <c r="AD524" s="9" t="n"/>
      <c r="AE524" s="9" t="n"/>
      <c r="AF524" s="9" t="n"/>
      <c r="AG524" s="9" t="n"/>
      <c r="AH524" s="9" t="n"/>
      <c r="AI524" s="9" t="n"/>
      <c r="AJ524" s="9" t="n"/>
      <c r="AK524" s="9" t="n"/>
      <c r="AL524" s="9" t="n"/>
      <c r="AM524" s="10" t="n"/>
    </row>
    <row r="525" ht="12.75" customHeight="1" s="562">
      <c r="E525" s="55" t="n"/>
      <c r="N525" s="10" t="n"/>
      <c r="O525" s="6" t="n"/>
      <c r="T525" s="6" t="n"/>
      <c r="Z525" s="6" t="n"/>
      <c r="AB525" s="9" t="n"/>
      <c r="AC525" s="9" t="n"/>
      <c r="AD525" s="9" t="n"/>
      <c r="AE525" s="9" t="n"/>
      <c r="AF525" s="9" t="n"/>
      <c r="AG525" s="9" t="n"/>
      <c r="AH525" s="9" t="n"/>
      <c r="AI525" s="9" t="n"/>
      <c r="AJ525" s="9" t="n"/>
      <c r="AK525" s="9" t="n"/>
      <c r="AL525" s="9" t="n"/>
      <c r="AM525" s="10" t="n"/>
    </row>
    <row r="526" ht="12.75" customHeight="1" s="562">
      <c r="E526" s="55" t="n"/>
      <c r="N526" s="10" t="n"/>
      <c r="O526" s="6" t="n"/>
      <c r="T526" s="6" t="n"/>
      <c r="Z526" s="6" t="n"/>
      <c r="AB526" s="9" t="n"/>
      <c r="AC526" s="9" t="n"/>
      <c r="AD526" s="9" t="n"/>
      <c r="AE526" s="9" t="n"/>
      <c r="AF526" s="9" t="n"/>
      <c r="AG526" s="9" t="n"/>
      <c r="AH526" s="9" t="n"/>
      <c r="AI526" s="9" t="n"/>
      <c r="AJ526" s="9" t="n"/>
      <c r="AK526" s="9" t="n"/>
      <c r="AL526" s="9" t="n"/>
      <c r="AM526" s="10" t="n"/>
    </row>
    <row r="527" ht="12.75" customHeight="1" s="562">
      <c r="E527" s="55" t="n"/>
      <c r="N527" s="10" t="n"/>
      <c r="O527" s="6" t="n"/>
      <c r="T527" s="6" t="n"/>
      <c r="Z527" s="6" t="n"/>
      <c r="AB527" s="9" t="n"/>
      <c r="AC527" s="9" t="n"/>
      <c r="AD527" s="9" t="n"/>
      <c r="AE527" s="9" t="n"/>
      <c r="AF527" s="9" t="n"/>
      <c r="AG527" s="9" t="n"/>
      <c r="AH527" s="9" t="n"/>
      <c r="AI527" s="9" t="n"/>
      <c r="AJ527" s="9" t="n"/>
      <c r="AK527" s="9" t="n"/>
      <c r="AL527" s="9" t="n"/>
      <c r="AM527" s="10" t="n"/>
    </row>
    <row r="528" ht="12.75" customHeight="1" s="562">
      <c r="E528" s="55" t="n"/>
      <c r="N528" s="10" t="n"/>
      <c r="O528" s="6" t="n"/>
      <c r="T528" s="6" t="n"/>
      <c r="Z528" s="6" t="n"/>
      <c r="AB528" s="9" t="n"/>
      <c r="AC528" s="9" t="n"/>
      <c r="AD528" s="9" t="n"/>
      <c r="AE528" s="9" t="n"/>
      <c r="AF528" s="9" t="n"/>
      <c r="AG528" s="9" t="n"/>
      <c r="AH528" s="9" t="n"/>
      <c r="AI528" s="9" t="n"/>
      <c r="AJ528" s="9" t="n"/>
      <c r="AK528" s="9" t="n"/>
      <c r="AL528" s="9" t="n"/>
      <c r="AM528" s="10" t="n"/>
    </row>
    <row r="529" ht="12.75" customHeight="1" s="562">
      <c r="E529" s="55" t="n"/>
      <c r="N529" s="10" t="n"/>
      <c r="O529" s="6" t="n"/>
      <c r="T529" s="6" t="n"/>
      <c r="Z529" s="6" t="n"/>
      <c r="AB529" s="9" t="n"/>
      <c r="AC529" s="9" t="n"/>
      <c r="AD529" s="9" t="n"/>
      <c r="AE529" s="9" t="n"/>
      <c r="AF529" s="9" t="n"/>
      <c r="AG529" s="9" t="n"/>
      <c r="AH529" s="9" t="n"/>
      <c r="AI529" s="9" t="n"/>
      <c r="AJ529" s="9" t="n"/>
      <c r="AK529" s="9" t="n"/>
      <c r="AL529" s="9" t="n"/>
      <c r="AM529" s="10" t="n"/>
    </row>
    <row r="530" ht="12.75" customHeight="1" s="562">
      <c r="E530" s="55" t="n"/>
      <c r="N530" s="10" t="n"/>
      <c r="O530" s="6" t="n"/>
      <c r="T530" s="6" t="n"/>
      <c r="Z530" s="6" t="n"/>
      <c r="AB530" s="9" t="n"/>
      <c r="AC530" s="9" t="n"/>
      <c r="AD530" s="9" t="n"/>
      <c r="AE530" s="9" t="n"/>
      <c r="AF530" s="9" t="n"/>
      <c r="AG530" s="9" t="n"/>
      <c r="AH530" s="9" t="n"/>
      <c r="AI530" s="9" t="n"/>
      <c r="AJ530" s="9" t="n"/>
      <c r="AK530" s="9" t="n"/>
      <c r="AL530" s="9" t="n"/>
      <c r="AM530" s="10" t="n"/>
    </row>
    <row r="531" ht="12.75" customHeight="1" s="562">
      <c r="E531" s="55" t="n"/>
      <c r="N531" s="10" t="n"/>
      <c r="O531" s="6" t="n"/>
      <c r="T531" s="6" t="n"/>
      <c r="Z531" s="6" t="n"/>
      <c r="AB531" s="9" t="n"/>
      <c r="AC531" s="9" t="n"/>
      <c r="AD531" s="9" t="n"/>
      <c r="AE531" s="9" t="n"/>
      <c r="AF531" s="9" t="n"/>
      <c r="AG531" s="9" t="n"/>
      <c r="AH531" s="9" t="n"/>
      <c r="AI531" s="9" t="n"/>
      <c r="AJ531" s="9" t="n"/>
      <c r="AK531" s="9" t="n"/>
      <c r="AL531" s="9" t="n"/>
      <c r="AM531" s="10" t="n"/>
    </row>
    <row r="532" ht="12.75" customHeight="1" s="562">
      <c r="E532" s="55" t="n"/>
      <c r="N532" s="10" t="n"/>
      <c r="O532" s="6" t="n"/>
      <c r="T532" s="6" t="n"/>
      <c r="Z532" s="6" t="n"/>
      <c r="AB532" s="9" t="n"/>
      <c r="AC532" s="9" t="n"/>
      <c r="AD532" s="9" t="n"/>
      <c r="AE532" s="9" t="n"/>
      <c r="AF532" s="9" t="n"/>
      <c r="AG532" s="9" t="n"/>
      <c r="AH532" s="9" t="n"/>
      <c r="AI532" s="9" t="n"/>
      <c r="AJ532" s="9" t="n"/>
      <c r="AK532" s="9" t="n"/>
      <c r="AL532" s="9" t="n"/>
      <c r="AM532" s="10" t="n"/>
    </row>
    <row r="533" ht="12.75" customHeight="1" s="562">
      <c r="E533" s="55" t="n"/>
      <c r="N533" s="10" t="n"/>
      <c r="O533" s="6" t="n"/>
      <c r="T533" s="6" t="n"/>
      <c r="Z533" s="6" t="n"/>
      <c r="AB533" s="9" t="n"/>
      <c r="AC533" s="9" t="n"/>
      <c r="AD533" s="9" t="n"/>
      <c r="AE533" s="9" t="n"/>
      <c r="AF533" s="9" t="n"/>
      <c r="AG533" s="9" t="n"/>
      <c r="AH533" s="9" t="n"/>
      <c r="AI533" s="9" t="n"/>
      <c r="AJ533" s="9" t="n"/>
      <c r="AK533" s="9" t="n"/>
      <c r="AL533" s="9" t="n"/>
      <c r="AM533" s="10" t="n"/>
    </row>
    <row r="534" ht="12.75" customHeight="1" s="562">
      <c r="E534" s="55" t="n"/>
      <c r="N534" s="10" t="n"/>
      <c r="O534" s="6" t="n"/>
      <c r="T534" s="6" t="n"/>
      <c r="Z534" s="6" t="n"/>
      <c r="AB534" s="9" t="n"/>
      <c r="AC534" s="9" t="n"/>
      <c r="AD534" s="9" t="n"/>
      <c r="AE534" s="9" t="n"/>
      <c r="AF534" s="9" t="n"/>
      <c r="AG534" s="9" t="n"/>
      <c r="AH534" s="9" t="n"/>
      <c r="AI534" s="9" t="n"/>
      <c r="AJ534" s="9" t="n"/>
      <c r="AK534" s="9" t="n"/>
      <c r="AL534" s="9" t="n"/>
      <c r="AM534" s="10" t="n"/>
    </row>
    <row r="535" ht="12.75" customHeight="1" s="562">
      <c r="E535" s="55" t="n"/>
      <c r="N535" s="10" t="n"/>
      <c r="O535" s="6" t="n"/>
      <c r="T535" s="6" t="n"/>
      <c r="Z535" s="6" t="n"/>
      <c r="AB535" s="9" t="n"/>
      <c r="AC535" s="9" t="n"/>
      <c r="AD535" s="9" t="n"/>
      <c r="AE535" s="9" t="n"/>
      <c r="AF535" s="9" t="n"/>
      <c r="AG535" s="9" t="n"/>
      <c r="AH535" s="9" t="n"/>
      <c r="AI535" s="9" t="n"/>
      <c r="AJ535" s="9" t="n"/>
      <c r="AK535" s="9" t="n"/>
      <c r="AL535" s="9" t="n"/>
      <c r="AM535" s="10" t="n"/>
    </row>
    <row r="536" ht="12.75" customHeight="1" s="562">
      <c r="E536" s="55" t="n"/>
      <c r="N536" s="10" t="n"/>
      <c r="O536" s="6" t="n"/>
      <c r="T536" s="6" t="n"/>
      <c r="Z536" s="6" t="n"/>
      <c r="AB536" s="9" t="n"/>
      <c r="AC536" s="9" t="n"/>
      <c r="AD536" s="9" t="n"/>
      <c r="AE536" s="9" t="n"/>
      <c r="AF536" s="9" t="n"/>
      <c r="AG536" s="9" t="n"/>
      <c r="AH536" s="9" t="n"/>
      <c r="AI536" s="9" t="n"/>
      <c r="AJ536" s="9" t="n"/>
      <c r="AK536" s="9" t="n"/>
      <c r="AL536" s="9" t="n"/>
      <c r="AM536" s="10" t="n"/>
    </row>
    <row r="537" ht="12.75" customHeight="1" s="562">
      <c r="E537" s="55" t="n"/>
      <c r="N537" s="10" t="n"/>
      <c r="O537" s="6" t="n"/>
      <c r="T537" s="6" t="n"/>
      <c r="Z537" s="6" t="n"/>
      <c r="AB537" s="9" t="n"/>
      <c r="AC537" s="9" t="n"/>
      <c r="AD537" s="9" t="n"/>
      <c r="AE537" s="9" t="n"/>
      <c r="AF537" s="9" t="n"/>
      <c r="AG537" s="9" t="n"/>
      <c r="AH537" s="9" t="n"/>
      <c r="AI537" s="9" t="n"/>
      <c r="AJ537" s="9" t="n"/>
      <c r="AK537" s="9" t="n"/>
      <c r="AL537" s="9" t="n"/>
      <c r="AM537" s="10" t="n"/>
    </row>
    <row r="538" ht="12.75" customHeight="1" s="562">
      <c r="E538" s="55" t="n"/>
      <c r="N538" s="10" t="n"/>
      <c r="O538" s="6" t="n"/>
      <c r="T538" s="6" t="n"/>
      <c r="Z538" s="6" t="n"/>
      <c r="AB538" s="9" t="n"/>
      <c r="AC538" s="9" t="n"/>
      <c r="AD538" s="9" t="n"/>
      <c r="AE538" s="9" t="n"/>
      <c r="AF538" s="9" t="n"/>
      <c r="AG538" s="9" t="n"/>
      <c r="AH538" s="9" t="n"/>
      <c r="AI538" s="9" t="n"/>
      <c r="AJ538" s="9" t="n"/>
      <c r="AK538" s="9" t="n"/>
      <c r="AL538" s="9" t="n"/>
      <c r="AM538" s="10" t="n"/>
    </row>
    <row r="539" ht="12.75" customHeight="1" s="562">
      <c r="E539" s="55" t="n"/>
      <c r="N539" s="10" t="n"/>
      <c r="O539" s="6" t="n"/>
      <c r="T539" s="6" t="n"/>
      <c r="Z539" s="6" t="n"/>
      <c r="AB539" s="9" t="n"/>
      <c r="AC539" s="9" t="n"/>
      <c r="AD539" s="9" t="n"/>
      <c r="AE539" s="9" t="n"/>
      <c r="AF539" s="9" t="n"/>
      <c r="AG539" s="9" t="n"/>
      <c r="AH539" s="9" t="n"/>
      <c r="AI539" s="9" t="n"/>
      <c r="AJ539" s="9" t="n"/>
      <c r="AK539" s="9" t="n"/>
      <c r="AL539" s="9" t="n"/>
      <c r="AM539" s="10" t="n"/>
    </row>
    <row r="540" ht="12.75" customHeight="1" s="562">
      <c r="E540" s="55" t="n"/>
      <c r="N540" s="10" t="n"/>
      <c r="O540" s="6" t="n"/>
      <c r="T540" s="6" t="n"/>
      <c r="Z540" s="6" t="n"/>
      <c r="AB540" s="9" t="n"/>
      <c r="AC540" s="9" t="n"/>
      <c r="AD540" s="9" t="n"/>
      <c r="AE540" s="9" t="n"/>
      <c r="AF540" s="9" t="n"/>
      <c r="AG540" s="9" t="n"/>
      <c r="AH540" s="9" t="n"/>
      <c r="AI540" s="9" t="n"/>
      <c r="AJ540" s="9" t="n"/>
      <c r="AK540" s="9" t="n"/>
      <c r="AL540" s="9" t="n"/>
      <c r="AM540" s="10" t="n"/>
    </row>
    <row r="541" ht="12.75" customHeight="1" s="562">
      <c r="E541" s="55" t="n"/>
      <c r="N541" s="10" t="n"/>
      <c r="O541" s="6" t="n"/>
      <c r="T541" s="6" t="n"/>
      <c r="Z541" s="6" t="n"/>
      <c r="AB541" s="9" t="n"/>
      <c r="AC541" s="9" t="n"/>
      <c r="AD541" s="9" t="n"/>
      <c r="AE541" s="9" t="n"/>
      <c r="AF541" s="9" t="n"/>
      <c r="AG541" s="9" t="n"/>
      <c r="AH541" s="9" t="n"/>
      <c r="AI541" s="9" t="n"/>
      <c r="AJ541" s="9" t="n"/>
      <c r="AK541" s="9" t="n"/>
      <c r="AL541" s="9" t="n"/>
      <c r="AM541" s="10" t="n"/>
    </row>
    <row r="542" ht="12.75" customHeight="1" s="562">
      <c r="E542" s="55" t="n"/>
      <c r="N542" s="10" t="n"/>
      <c r="O542" s="6" t="n"/>
      <c r="T542" s="6" t="n"/>
      <c r="Z542" s="6" t="n"/>
      <c r="AB542" s="9" t="n"/>
      <c r="AC542" s="9" t="n"/>
      <c r="AD542" s="9" t="n"/>
      <c r="AE542" s="9" t="n"/>
      <c r="AF542" s="9" t="n"/>
      <c r="AG542" s="9" t="n"/>
      <c r="AH542" s="9" t="n"/>
      <c r="AI542" s="9" t="n"/>
      <c r="AJ542" s="9" t="n"/>
      <c r="AK542" s="9" t="n"/>
      <c r="AL542" s="9" t="n"/>
      <c r="AM542" s="10" t="n"/>
    </row>
    <row r="543" ht="12.75" customHeight="1" s="562">
      <c r="E543" s="55" t="n"/>
      <c r="N543" s="10" t="n"/>
      <c r="O543" s="6" t="n"/>
      <c r="T543" s="6" t="n"/>
      <c r="Z543" s="6" t="n"/>
      <c r="AB543" s="9" t="n"/>
      <c r="AC543" s="9" t="n"/>
      <c r="AD543" s="9" t="n"/>
      <c r="AE543" s="9" t="n"/>
      <c r="AF543" s="9" t="n"/>
      <c r="AG543" s="9" t="n"/>
      <c r="AH543" s="9" t="n"/>
      <c r="AI543" s="9" t="n"/>
      <c r="AJ543" s="9" t="n"/>
      <c r="AK543" s="9" t="n"/>
      <c r="AL543" s="9" t="n"/>
      <c r="AM543" s="10" t="n"/>
    </row>
    <row r="544" ht="12.75" customHeight="1" s="562">
      <c r="E544" s="55" t="n"/>
      <c r="N544" s="10" t="n"/>
      <c r="O544" s="6" t="n"/>
      <c r="T544" s="6" t="n"/>
      <c r="Z544" s="6" t="n"/>
      <c r="AB544" s="9" t="n"/>
      <c r="AC544" s="9" t="n"/>
      <c r="AD544" s="9" t="n"/>
      <c r="AE544" s="9" t="n"/>
      <c r="AF544" s="9" t="n"/>
      <c r="AG544" s="9" t="n"/>
      <c r="AH544" s="9" t="n"/>
      <c r="AI544" s="9" t="n"/>
      <c r="AJ544" s="9" t="n"/>
      <c r="AK544" s="9" t="n"/>
      <c r="AL544" s="9" t="n"/>
      <c r="AM544" s="10" t="n"/>
    </row>
    <row r="545" ht="12.75" customHeight="1" s="562">
      <c r="E545" s="55" t="n"/>
      <c r="N545" s="10" t="n"/>
      <c r="O545" s="6" t="n"/>
      <c r="T545" s="6" t="n"/>
      <c r="Z545" s="6" t="n"/>
      <c r="AB545" s="9" t="n"/>
      <c r="AC545" s="9" t="n"/>
      <c r="AD545" s="9" t="n"/>
      <c r="AE545" s="9" t="n"/>
      <c r="AF545" s="9" t="n"/>
      <c r="AG545" s="9" t="n"/>
      <c r="AH545" s="9" t="n"/>
      <c r="AI545" s="9" t="n"/>
      <c r="AJ545" s="9" t="n"/>
      <c r="AK545" s="9" t="n"/>
      <c r="AL545" s="9" t="n"/>
      <c r="AM545" s="10" t="n"/>
    </row>
    <row r="546" ht="12.75" customHeight="1" s="562">
      <c r="E546" s="55" t="n"/>
      <c r="N546" s="10" t="n"/>
      <c r="O546" s="6" t="n"/>
      <c r="T546" s="6" t="n"/>
      <c r="Z546" s="6" t="n"/>
      <c r="AB546" s="9" t="n"/>
      <c r="AC546" s="9" t="n"/>
      <c r="AD546" s="9" t="n"/>
      <c r="AE546" s="9" t="n"/>
      <c r="AF546" s="9" t="n"/>
      <c r="AG546" s="9" t="n"/>
      <c r="AH546" s="9" t="n"/>
      <c r="AI546" s="9" t="n"/>
      <c r="AJ546" s="9" t="n"/>
      <c r="AK546" s="9" t="n"/>
      <c r="AL546" s="9" t="n"/>
      <c r="AM546" s="10" t="n"/>
    </row>
    <row r="547" ht="12.75" customHeight="1" s="562">
      <c r="E547" s="55" t="n"/>
      <c r="N547" s="10" t="n"/>
      <c r="O547" s="6" t="n"/>
      <c r="T547" s="6" t="n"/>
      <c r="Z547" s="6" t="n"/>
      <c r="AB547" s="9" t="n"/>
      <c r="AC547" s="9" t="n"/>
      <c r="AD547" s="9" t="n"/>
      <c r="AE547" s="9" t="n"/>
      <c r="AF547" s="9" t="n"/>
      <c r="AG547" s="9" t="n"/>
      <c r="AH547" s="9" t="n"/>
      <c r="AI547" s="9" t="n"/>
      <c r="AJ547" s="9" t="n"/>
      <c r="AK547" s="9" t="n"/>
      <c r="AL547" s="9" t="n"/>
      <c r="AM547" s="10" t="n"/>
    </row>
    <row r="548" ht="12.75" customHeight="1" s="562">
      <c r="E548" s="55" t="n"/>
      <c r="N548" s="10" t="n"/>
      <c r="O548" s="6" t="n"/>
      <c r="T548" s="6" t="n"/>
      <c r="Z548" s="6" t="n"/>
      <c r="AB548" s="9" t="n"/>
      <c r="AC548" s="9" t="n"/>
      <c r="AD548" s="9" t="n"/>
      <c r="AE548" s="9" t="n"/>
      <c r="AF548" s="9" t="n"/>
      <c r="AG548" s="9" t="n"/>
      <c r="AH548" s="9" t="n"/>
      <c r="AI548" s="9" t="n"/>
      <c r="AJ548" s="9" t="n"/>
      <c r="AK548" s="9" t="n"/>
      <c r="AL548" s="9" t="n"/>
      <c r="AM548" s="10" t="n"/>
    </row>
    <row r="549" ht="12.75" customHeight="1" s="562">
      <c r="E549" s="55" t="n"/>
      <c r="N549" s="10" t="n"/>
      <c r="O549" s="6" t="n"/>
      <c r="T549" s="6" t="n"/>
      <c r="Z549" s="6" t="n"/>
      <c r="AB549" s="9" t="n"/>
      <c r="AC549" s="9" t="n"/>
      <c r="AD549" s="9" t="n"/>
      <c r="AE549" s="9" t="n"/>
      <c r="AF549" s="9" t="n"/>
      <c r="AG549" s="9" t="n"/>
      <c r="AH549" s="9" t="n"/>
      <c r="AI549" s="9" t="n"/>
      <c r="AJ549" s="9" t="n"/>
      <c r="AK549" s="9" t="n"/>
      <c r="AL549" s="9" t="n"/>
      <c r="AM549" s="10" t="n"/>
    </row>
    <row r="550" ht="12.75" customHeight="1" s="562">
      <c r="E550" s="55" t="n"/>
      <c r="N550" s="10" t="n"/>
      <c r="O550" s="6" t="n"/>
      <c r="T550" s="6" t="n"/>
      <c r="Z550" s="6" t="n"/>
      <c r="AB550" s="9" t="n"/>
      <c r="AC550" s="9" t="n"/>
      <c r="AD550" s="9" t="n"/>
      <c r="AE550" s="9" t="n"/>
      <c r="AF550" s="9" t="n"/>
      <c r="AG550" s="9" t="n"/>
      <c r="AH550" s="9" t="n"/>
      <c r="AI550" s="9" t="n"/>
      <c r="AJ550" s="9" t="n"/>
      <c r="AK550" s="9" t="n"/>
      <c r="AL550" s="9" t="n"/>
      <c r="AM550" s="10" t="n"/>
    </row>
    <row r="551" ht="12.75" customHeight="1" s="562">
      <c r="E551" s="55" t="n"/>
      <c r="N551" s="10" t="n"/>
      <c r="O551" s="6" t="n"/>
      <c r="T551" s="6" t="n"/>
      <c r="Z551" s="6" t="n"/>
      <c r="AB551" s="9" t="n"/>
      <c r="AC551" s="9" t="n"/>
      <c r="AD551" s="9" t="n"/>
      <c r="AE551" s="9" t="n"/>
      <c r="AF551" s="9" t="n"/>
      <c r="AG551" s="9" t="n"/>
      <c r="AH551" s="9" t="n"/>
      <c r="AI551" s="9" t="n"/>
      <c r="AJ551" s="9" t="n"/>
      <c r="AK551" s="9" t="n"/>
      <c r="AL551" s="9" t="n"/>
      <c r="AM551" s="10" t="n"/>
    </row>
    <row r="552" ht="12.75" customHeight="1" s="562">
      <c r="E552" s="55" t="n"/>
      <c r="N552" s="10" t="n"/>
      <c r="O552" s="6" t="n"/>
      <c r="T552" s="6" t="n"/>
      <c r="Z552" s="6" t="n"/>
      <c r="AB552" s="9" t="n"/>
      <c r="AC552" s="9" t="n"/>
      <c r="AD552" s="9" t="n"/>
      <c r="AE552" s="9" t="n"/>
      <c r="AF552" s="9" t="n"/>
      <c r="AG552" s="9" t="n"/>
      <c r="AH552" s="9" t="n"/>
      <c r="AI552" s="9" t="n"/>
      <c r="AJ552" s="9" t="n"/>
      <c r="AK552" s="9" t="n"/>
      <c r="AL552" s="9" t="n"/>
      <c r="AM552" s="10" t="n"/>
    </row>
    <row r="553" ht="12.75" customHeight="1" s="562">
      <c r="E553" s="55" t="n"/>
      <c r="N553" s="10" t="n"/>
      <c r="O553" s="6" t="n"/>
      <c r="T553" s="6" t="n"/>
      <c r="Z553" s="6" t="n"/>
      <c r="AB553" s="9" t="n"/>
      <c r="AC553" s="9" t="n"/>
      <c r="AD553" s="9" t="n"/>
      <c r="AE553" s="9" t="n"/>
      <c r="AF553" s="9" t="n"/>
      <c r="AG553" s="9" t="n"/>
      <c r="AH553" s="9" t="n"/>
      <c r="AI553" s="9" t="n"/>
      <c r="AJ553" s="9" t="n"/>
      <c r="AK553" s="9" t="n"/>
      <c r="AL553" s="9" t="n"/>
      <c r="AM553" s="10" t="n"/>
    </row>
    <row r="554" ht="12.75" customHeight="1" s="562">
      <c r="E554" s="55" t="n"/>
      <c r="N554" s="10" t="n"/>
      <c r="O554" s="6" t="n"/>
      <c r="T554" s="6" t="n"/>
      <c r="Z554" s="6" t="n"/>
      <c r="AB554" s="9" t="n"/>
      <c r="AC554" s="9" t="n"/>
      <c r="AD554" s="9" t="n"/>
      <c r="AE554" s="9" t="n"/>
      <c r="AF554" s="9" t="n"/>
      <c r="AG554" s="9" t="n"/>
      <c r="AH554" s="9" t="n"/>
      <c r="AI554" s="9" t="n"/>
      <c r="AJ554" s="9" t="n"/>
      <c r="AK554" s="9" t="n"/>
      <c r="AL554" s="9" t="n"/>
      <c r="AM554" s="10" t="n"/>
    </row>
    <row r="555" ht="12.75" customHeight="1" s="562">
      <c r="E555" s="55" t="n"/>
      <c r="N555" s="10" t="n"/>
      <c r="O555" s="6" t="n"/>
      <c r="T555" s="6" t="n"/>
      <c r="Z555" s="6" t="n"/>
      <c r="AB555" s="9" t="n"/>
      <c r="AC555" s="9" t="n"/>
      <c r="AD555" s="9" t="n"/>
      <c r="AE555" s="9" t="n"/>
      <c r="AF555" s="9" t="n"/>
      <c r="AG555" s="9" t="n"/>
      <c r="AH555" s="9" t="n"/>
      <c r="AI555" s="9" t="n"/>
      <c r="AJ555" s="9" t="n"/>
      <c r="AK555" s="9" t="n"/>
      <c r="AL555" s="9" t="n"/>
      <c r="AM555" s="10" t="n"/>
    </row>
    <row r="556" ht="12.75" customHeight="1" s="562">
      <c r="E556" s="55" t="n"/>
      <c r="N556" s="10" t="n"/>
      <c r="O556" s="6" t="n"/>
      <c r="T556" s="6" t="n"/>
      <c r="Z556" s="6" t="n"/>
      <c r="AB556" s="9" t="n"/>
      <c r="AC556" s="9" t="n"/>
      <c r="AD556" s="9" t="n"/>
      <c r="AE556" s="9" t="n"/>
      <c r="AF556" s="9" t="n"/>
      <c r="AG556" s="9" t="n"/>
      <c r="AH556" s="9" t="n"/>
      <c r="AI556" s="9" t="n"/>
      <c r="AJ556" s="9" t="n"/>
      <c r="AK556" s="9" t="n"/>
      <c r="AL556" s="9" t="n"/>
      <c r="AM556" s="10" t="n"/>
    </row>
    <row r="557" ht="12.75" customHeight="1" s="562">
      <c r="E557" s="55" t="n"/>
      <c r="N557" s="10" t="n"/>
      <c r="O557" s="6" t="n"/>
      <c r="T557" s="6" t="n"/>
      <c r="Z557" s="6" t="n"/>
      <c r="AB557" s="9" t="n"/>
      <c r="AC557" s="9" t="n"/>
      <c r="AD557" s="9" t="n"/>
      <c r="AE557" s="9" t="n"/>
      <c r="AF557" s="9" t="n"/>
      <c r="AG557" s="9" t="n"/>
      <c r="AH557" s="9" t="n"/>
      <c r="AI557" s="9" t="n"/>
      <c r="AJ557" s="9" t="n"/>
      <c r="AK557" s="9" t="n"/>
      <c r="AL557" s="9" t="n"/>
      <c r="AM557" s="10" t="n"/>
    </row>
    <row r="558" ht="12.75" customHeight="1" s="562">
      <c r="E558" s="55" t="n"/>
      <c r="N558" s="10" t="n"/>
      <c r="O558" s="6" t="n"/>
      <c r="T558" s="6" t="n"/>
      <c r="Z558" s="6" t="n"/>
      <c r="AB558" s="9" t="n"/>
      <c r="AC558" s="9" t="n"/>
      <c r="AD558" s="9" t="n"/>
      <c r="AE558" s="9" t="n"/>
      <c r="AF558" s="9" t="n"/>
      <c r="AG558" s="9" t="n"/>
      <c r="AH558" s="9" t="n"/>
      <c r="AI558" s="9" t="n"/>
      <c r="AJ558" s="9" t="n"/>
      <c r="AK558" s="9" t="n"/>
      <c r="AL558" s="9" t="n"/>
      <c r="AM558" s="10" t="n"/>
    </row>
    <row r="559" ht="12.75" customHeight="1" s="562">
      <c r="E559" s="55" t="n"/>
      <c r="N559" s="10" t="n"/>
      <c r="O559" s="6" t="n"/>
      <c r="T559" s="6" t="n"/>
      <c r="Z559" s="6" t="n"/>
      <c r="AB559" s="9" t="n"/>
      <c r="AC559" s="9" t="n"/>
      <c r="AD559" s="9" t="n"/>
      <c r="AE559" s="9" t="n"/>
      <c r="AF559" s="9" t="n"/>
      <c r="AG559" s="9" t="n"/>
      <c r="AH559" s="9" t="n"/>
      <c r="AI559" s="9" t="n"/>
      <c r="AJ559" s="9" t="n"/>
      <c r="AK559" s="9" t="n"/>
      <c r="AL559" s="9" t="n"/>
      <c r="AM559" s="10" t="n"/>
    </row>
    <row r="560" ht="12.75" customHeight="1" s="562">
      <c r="E560" s="55" t="n"/>
      <c r="N560" s="10" t="n"/>
      <c r="O560" s="6" t="n"/>
      <c r="T560" s="6" t="n"/>
      <c r="Z560" s="6" t="n"/>
      <c r="AB560" s="9" t="n"/>
      <c r="AC560" s="9" t="n"/>
      <c r="AD560" s="9" t="n"/>
      <c r="AE560" s="9" t="n"/>
      <c r="AF560" s="9" t="n"/>
      <c r="AG560" s="9" t="n"/>
      <c r="AH560" s="9" t="n"/>
      <c r="AI560" s="9" t="n"/>
      <c r="AJ560" s="9" t="n"/>
      <c r="AK560" s="9" t="n"/>
      <c r="AL560" s="9" t="n"/>
      <c r="AM560" s="10" t="n"/>
    </row>
    <row r="561" ht="12.75" customHeight="1" s="562">
      <c r="E561" s="55" t="n"/>
      <c r="N561" s="10" t="n"/>
      <c r="O561" s="6" t="n"/>
      <c r="T561" s="6" t="n"/>
      <c r="Z561" s="6" t="n"/>
      <c r="AB561" s="9" t="n"/>
      <c r="AC561" s="9" t="n"/>
      <c r="AD561" s="9" t="n"/>
      <c r="AE561" s="9" t="n"/>
      <c r="AF561" s="9" t="n"/>
      <c r="AG561" s="9" t="n"/>
      <c r="AH561" s="9" t="n"/>
      <c r="AI561" s="9" t="n"/>
      <c r="AJ561" s="9" t="n"/>
      <c r="AK561" s="9" t="n"/>
      <c r="AL561" s="9" t="n"/>
      <c r="AM561" s="10" t="n"/>
    </row>
    <row r="562" ht="12.75" customHeight="1" s="562">
      <c r="E562" s="55" t="n"/>
      <c r="N562" s="10" t="n"/>
      <c r="O562" s="6" t="n"/>
      <c r="T562" s="6" t="n"/>
      <c r="Z562" s="6" t="n"/>
      <c r="AB562" s="9" t="n"/>
      <c r="AC562" s="9" t="n"/>
      <c r="AD562" s="9" t="n"/>
      <c r="AE562" s="9" t="n"/>
      <c r="AF562" s="9" t="n"/>
      <c r="AG562" s="9" t="n"/>
      <c r="AH562" s="9" t="n"/>
      <c r="AI562" s="9" t="n"/>
      <c r="AJ562" s="9" t="n"/>
      <c r="AK562" s="9" t="n"/>
      <c r="AL562" s="9" t="n"/>
      <c r="AM562" s="10" t="n"/>
    </row>
    <row r="563" ht="12.75" customHeight="1" s="562">
      <c r="E563" s="55" t="n"/>
      <c r="N563" s="10" t="n"/>
      <c r="O563" s="6" t="n"/>
      <c r="T563" s="6" t="n"/>
      <c r="Z563" s="6" t="n"/>
      <c r="AB563" s="9" t="n"/>
      <c r="AC563" s="9" t="n"/>
      <c r="AD563" s="9" t="n"/>
      <c r="AE563" s="9" t="n"/>
      <c r="AF563" s="9" t="n"/>
      <c r="AG563" s="9" t="n"/>
      <c r="AH563" s="9" t="n"/>
      <c r="AI563" s="9" t="n"/>
      <c r="AJ563" s="9" t="n"/>
      <c r="AK563" s="9" t="n"/>
      <c r="AL563" s="9" t="n"/>
      <c r="AM563" s="10" t="n"/>
    </row>
    <row r="564" ht="12.75" customHeight="1" s="562">
      <c r="E564" s="55" t="n"/>
      <c r="N564" s="10" t="n"/>
      <c r="O564" s="6" t="n"/>
      <c r="T564" s="6" t="n"/>
      <c r="Z564" s="6" t="n"/>
      <c r="AB564" s="9" t="n"/>
      <c r="AC564" s="9" t="n"/>
      <c r="AD564" s="9" t="n"/>
      <c r="AE564" s="9" t="n"/>
      <c r="AF564" s="9" t="n"/>
      <c r="AG564" s="9" t="n"/>
      <c r="AH564" s="9" t="n"/>
      <c r="AI564" s="9" t="n"/>
      <c r="AJ564" s="9" t="n"/>
      <c r="AK564" s="9" t="n"/>
      <c r="AL564" s="9" t="n"/>
      <c r="AM564" s="10" t="n"/>
    </row>
    <row r="565" ht="12.75" customHeight="1" s="562">
      <c r="E565" s="55" t="n"/>
      <c r="N565" s="10" t="n"/>
      <c r="O565" s="6" t="n"/>
      <c r="T565" s="6" t="n"/>
      <c r="Z565" s="6" t="n"/>
      <c r="AB565" s="9" t="n"/>
      <c r="AC565" s="9" t="n"/>
      <c r="AD565" s="9" t="n"/>
      <c r="AE565" s="9" t="n"/>
      <c r="AF565" s="9" t="n"/>
      <c r="AG565" s="9" t="n"/>
      <c r="AH565" s="9" t="n"/>
      <c r="AI565" s="9" t="n"/>
      <c r="AJ565" s="9" t="n"/>
      <c r="AK565" s="9" t="n"/>
      <c r="AL565" s="9" t="n"/>
      <c r="AM565" s="10" t="n"/>
    </row>
    <row r="566" ht="12.75" customHeight="1" s="562">
      <c r="E566" s="55" t="n"/>
      <c r="N566" s="10" t="n"/>
      <c r="O566" s="6" t="n"/>
      <c r="T566" s="6" t="n"/>
      <c r="Z566" s="6" t="n"/>
      <c r="AB566" s="9" t="n"/>
      <c r="AC566" s="9" t="n"/>
      <c r="AD566" s="9" t="n"/>
      <c r="AE566" s="9" t="n"/>
      <c r="AF566" s="9" t="n"/>
      <c r="AG566" s="9" t="n"/>
      <c r="AH566" s="9" t="n"/>
      <c r="AI566" s="9" t="n"/>
      <c r="AJ566" s="9" t="n"/>
      <c r="AK566" s="9" t="n"/>
      <c r="AL566" s="9" t="n"/>
      <c r="AM566" s="10" t="n"/>
    </row>
    <row r="567" ht="12.75" customHeight="1" s="562">
      <c r="E567" s="55" t="n"/>
      <c r="N567" s="10" t="n"/>
      <c r="O567" s="6" t="n"/>
      <c r="T567" s="6" t="n"/>
      <c r="Z567" s="6" t="n"/>
      <c r="AB567" s="9" t="n"/>
      <c r="AC567" s="9" t="n"/>
      <c r="AD567" s="9" t="n"/>
      <c r="AE567" s="9" t="n"/>
      <c r="AF567" s="9" t="n"/>
      <c r="AG567" s="9" t="n"/>
      <c r="AH567" s="9" t="n"/>
      <c r="AI567" s="9" t="n"/>
      <c r="AJ567" s="9" t="n"/>
      <c r="AK567" s="9" t="n"/>
      <c r="AL567" s="9" t="n"/>
      <c r="AM567" s="10" t="n"/>
    </row>
    <row r="568" ht="12.75" customHeight="1" s="562">
      <c r="E568" s="55" t="n"/>
      <c r="N568" s="10" t="n"/>
      <c r="O568" s="6" t="n"/>
      <c r="T568" s="6" t="n"/>
      <c r="Z568" s="6" t="n"/>
      <c r="AB568" s="9" t="n"/>
      <c r="AC568" s="9" t="n"/>
      <c r="AD568" s="9" t="n"/>
      <c r="AE568" s="9" t="n"/>
      <c r="AF568" s="9" t="n"/>
      <c r="AG568" s="9" t="n"/>
      <c r="AH568" s="9" t="n"/>
      <c r="AI568" s="9" t="n"/>
      <c r="AJ568" s="9" t="n"/>
      <c r="AK568" s="9" t="n"/>
      <c r="AL568" s="9" t="n"/>
      <c r="AM568" s="10" t="n"/>
    </row>
    <row r="569" ht="12.75" customHeight="1" s="562">
      <c r="E569" s="55" t="n"/>
      <c r="N569" s="10" t="n"/>
      <c r="O569" s="6" t="n"/>
      <c r="T569" s="6" t="n"/>
      <c r="Z569" s="6" t="n"/>
      <c r="AB569" s="9" t="n"/>
      <c r="AC569" s="9" t="n"/>
      <c r="AD569" s="9" t="n"/>
      <c r="AE569" s="9" t="n"/>
      <c r="AF569" s="9" t="n"/>
      <c r="AG569" s="9" t="n"/>
      <c r="AH569" s="9" t="n"/>
      <c r="AI569" s="9" t="n"/>
      <c r="AJ569" s="9" t="n"/>
      <c r="AK569" s="9" t="n"/>
      <c r="AL569" s="9" t="n"/>
      <c r="AM569" s="10" t="n"/>
    </row>
    <row r="570" ht="12.75" customHeight="1" s="562">
      <c r="E570" s="55" t="n"/>
      <c r="N570" s="10" t="n"/>
      <c r="O570" s="6" t="n"/>
      <c r="T570" s="6" t="n"/>
      <c r="Z570" s="6" t="n"/>
      <c r="AB570" s="9" t="n"/>
      <c r="AC570" s="9" t="n"/>
      <c r="AD570" s="9" t="n"/>
      <c r="AE570" s="9" t="n"/>
      <c r="AF570" s="9" t="n"/>
      <c r="AG570" s="9" t="n"/>
      <c r="AH570" s="9" t="n"/>
      <c r="AI570" s="9" t="n"/>
      <c r="AJ570" s="9" t="n"/>
      <c r="AK570" s="9" t="n"/>
      <c r="AL570" s="9" t="n"/>
      <c r="AM570" s="10" t="n"/>
    </row>
    <row r="571" ht="12.75" customHeight="1" s="562">
      <c r="E571" s="55" t="n"/>
      <c r="N571" s="10" t="n"/>
      <c r="O571" s="6" t="n"/>
      <c r="T571" s="6" t="n"/>
      <c r="Z571" s="6" t="n"/>
      <c r="AB571" s="9" t="n"/>
      <c r="AC571" s="9" t="n"/>
      <c r="AD571" s="9" t="n"/>
      <c r="AE571" s="9" t="n"/>
      <c r="AF571" s="9" t="n"/>
      <c r="AG571" s="9" t="n"/>
      <c r="AH571" s="9" t="n"/>
      <c r="AI571" s="9" t="n"/>
      <c r="AJ571" s="9" t="n"/>
      <c r="AK571" s="9" t="n"/>
      <c r="AL571" s="9" t="n"/>
      <c r="AM571" s="10" t="n"/>
    </row>
    <row r="572" ht="12.75" customHeight="1" s="562">
      <c r="E572" s="55" t="n"/>
      <c r="N572" s="10" t="n"/>
      <c r="O572" s="6" t="n"/>
      <c r="T572" s="6" t="n"/>
      <c r="Z572" s="6" t="n"/>
      <c r="AB572" s="9" t="n"/>
      <c r="AC572" s="9" t="n"/>
      <c r="AD572" s="9" t="n"/>
      <c r="AE572" s="9" t="n"/>
      <c r="AF572" s="9" t="n"/>
      <c r="AG572" s="9" t="n"/>
      <c r="AH572" s="9" t="n"/>
      <c r="AI572" s="9" t="n"/>
      <c r="AJ572" s="9" t="n"/>
      <c r="AK572" s="9" t="n"/>
      <c r="AL572" s="9" t="n"/>
      <c r="AM572" s="10" t="n"/>
    </row>
    <row r="573" ht="12.75" customHeight="1" s="562">
      <c r="E573" s="55" t="n"/>
      <c r="N573" s="10" t="n"/>
      <c r="O573" s="6" t="n"/>
      <c r="T573" s="6" t="n"/>
      <c r="Z573" s="6" t="n"/>
      <c r="AB573" s="9" t="n"/>
      <c r="AC573" s="9" t="n"/>
      <c r="AD573" s="9" t="n"/>
      <c r="AE573" s="9" t="n"/>
      <c r="AF573" s="9" t="n"/>
      <c r="AG573" s="9" t="n"/>
      <c r="AH573" s="9" t="n"/>
      <c r="AI573" s="9" t="n"/>
      <c r="AJ573" s="9" t="n"/>
      <c r="AK573" s="9" t="n"/>
      <c r="AL573" s="9" t="n"/>
      <c r="AM573" s="10" t="n"/>
    </row>
    <row r="574" ht="12.75" customHeight="1" s="562">
      <c r="E574" s="55" t="n"/>
      <c r="N574" s="10" t="n"/>
      <c r="O574" s="6" t="n"/>
      <c r="T574" s="6" t="n"/>
      <c r="Z574" s="6" t="n"/>
      <c r="AB574" s="9" t="n"/>
      <c r="AC574" s="9" t="n"/>
      <c r="AD574" s="9" t="n"/>
      <c r="AE574" s="9" t="n"/>
      <c r="AF574" s="9" t="n"/>
      <c r="AG574" s="9" t="n"/>
      <c r="AH574" s="9" t="n"/>
      <c r="AI574" s="9" t="n"/>
      <c r="AJ574" s="9" t="n"/>
      <c r="AK574" s="9" t="n"/>
      <c r="AL574" s="9" t="n"/>
      <c r="AM574" s="10" t="n"/>
    </row>
    <row r="575" ht="12.75" customHeight="1" s="562">
      <c r="E575" s="55" t="n"/>
      <c r="N575" s="10" t="n"/>
      <c r="O575" s="6" t="n"/>
      <c r="T575" s="6" t="n"/>
      <c r="Z575" s="6" t="n"/>
      <c r="AB575" s="9" t="n"/>
      <c r="AC575" s="9" t="n"/>
      <c r="AD575" s="9" t="n"/>
      <c r="AE575" s="9" t="n"/>
      <c r="AF575" s="9" t="n"/>
      <c r="AG575" s="9" t="n"/>
      <c r="AH575" s="9" t="n"/>
      <c r="AI575" s="9" t="n"/>
      <c r="AJ575" s="9" t="n"/>
      <c r="AK575" s="9" t="n"/>
      <c r="AL575" s="9" t="n"/>
      <c r="AM575" s="10" t="n"/>
    </row>
    <row r="576" ht="12.75" customHeight="1" s="562">
      <c r="E576" s="55" t="n"/>
      <c r="N576" s="10" t="n"/>
      <c r="O576" s="6" t="n"/>
      <c r="T576" s="6" t="n"/>
      <c r="Z576" s="6" t="n"/>
      <c r="AB576" s="9" t="n"/>
      <c r="AC576" s="9" t="n"/>
      <c r="AD576" s="9" t="n"/>
      <c r="AE576" s="9" t="n"/>
      <c r="AF576" s="9" t="n"/>
      <c r="AG576" s="9" t="n"/>
      <c r="AH576" s="9" t="n"/>
      <c r="AI576" s="9" t="n"/>
      <c r="AJ576" s="9" t="n"/>
      <c r="AK576" s="9" t="n"/>
      <c r="AL576" s="9" t="n"/>
      <c r="AM576" s="10" t="n"/>
    </row>
    <row r="577" ht="12.75" customHeight="1" s="562">
      <c r="E577" s="55" t="n"/>
      <c r="N577" s="10" t="n"/>
      <c r="O577" s="6" t="n"/>
      <c r="T577" s="6" t="n"/>
      <c r="Z577" s="6" t="n"/>
      <c r="AB577" s="9" t="n"/>
      <c r="AC577" s="9" t="n"/>
      <c r="AD577" s="9" t="n"/>
      <c r="AE577" s="9" t="n"/>
      <c r="AF577" s="9" t="n"/>
      <c r="AG577" s="9" t="n"/>
      <c r="AH577" s="9" t="n"/>
      <c r="AI577" s="9" t="n"/>
      <c r="AJ577" s="9" t="n"/>
      <c r="AK577" s="9" t="n"/>
      <c r="AL577" s="9" t="n"/>
      <c r="AM577" s="10" t="n"/>
    </row>
    <row r="578" ht="12.75" customHeight="1" s="562">
      <c r="E578" s="55" t="n"/>
      <c r="N578" s="10" t="n"/>
      <c r="O578" s="6" t="n"/>
      <c r="T578" s="6" t="n"/>
      <c r="Z578" s="6" t="n"/>
      <c r="AB578" s="9" t="n"/>
      <c r="AC578" s="9" t="n"/>
      <c r="AD578" s="9" t="n"/>
      <c r="AE578" s="9" t="n"/>
      <c r="AF578" s="9" t="n"/>
      <c r="AG578" s="9" t="n"/>
      <c r="AH578" s="9" t="n"/>
      <c r="AI578" s="9" t="n"/>
      <c r="AJ578" s="9" t="n"/>
      <c r="AK578" s="9" t="n"/>
      <c r="AL578" s="9" t="n"/>
      <c r="AM578" s="10" t="n"/>
    </row>
    <row r="579" ht="12.75" customHeight="1" s="562">
      <c r="E579" s="55" t="n"/>
      <c r="N579" s="10" t="n"/>
      <c r="O579" s="6" t="n"/>
      <c r="T579" s="6" t="n"/>
      <c r="Z579" s="6" t="n"/>
      <c r="AB579" s="9" t="n"/>
      <c r="AC579" s="9" t="n"/>
      <c r="AD579" s="9" t="n"/>
      <c r="AE579" s="9" t="n"/>
      <c r="AF579" s="9" t="n"/>
      <c r="AG579" s="9" t="n"/>
      <c r="AH579" s="9" t="n"/>
      <c r="AI579" s="9" t="n"/>
      <c r="AJ579" s="9" t="n"/>
      <c r="AK579" s="9" t="n"/>
      <c r="AL579" s="9" t="n"/>
      <c r="AM579" s="10" t="n"/>
    </row>
    <row r="580" ht="12.75" customHeight="1" s="562">
      <c r="E580" s="55" t="n"/>
      <c r="N580" s="10" t="n"/>
      <c r="O580" s="6" t="n"/>
      <c r="T580" s="6" t="n"/>
      <c r="Z580" s="6" t="n"/>
      <c r="AB580" s="9" t="n"/>
      <c r="AC580" s="9" t="n"/>
      <c r="AD580" s="9" t="n"/>
      <c r="AE580" s="9" t="n"/>
      <c r="AF580" s="9" t="n"/>
      <c r="AG580" s="9" t="n"/>
      <c r="AH580" s="9" t="n"/>
      <c r="AI580" s="9" t="n"/>
      <c r="AJ580" s="9" t="n"/>
      <c r="AK580" s="9" t="n"/>
      <c r="AL580" s="9" t="n"/>
      <c r="AM580" s="10" t="n"/>
    </row>
    <row r="581" ht="12.75" customHeight="1" s="562">
      <c r="E581" s="55" t="n"/>
      <c r="N581" s="10" t="n"/>
      <c r="O581" s="6" t="n"/>
      <c r="T581" s="6" t="n"/>
      <c r="Z581" s="6" t="n"/>
      <c r="AB581" s="9" t="n"/>
      <c r="AC581" s="9" t="n"/>
      <c r="AD581" s="9" t="n"/>
      <c r="AE581" s="9" t="n"/>
      <c r="AF581" s="9" t="n"/>
      <c r="AG581" s="9" t="n"/>
      <c r="AH581" s="9" t="n"/>
      <c r="AI581" s="9" t="n"/>
      <c r="AJ581" s="9" t="n"/>
      <c r="AK581" s="9" t="n"/>
      <c r="AL581" s="9" t="n"/>
      <c r="AM581" s="10" t="n"/>
    </row>
    <row r="582" ht="12.75" customHeight="1" s="562">
      <c r="E582" s="55" t="n"/>
      <c r="N582" s="10" t="n"/>
      <c r="O582" s="6" t="n"/>
      <c r="T582" s="6" t="n"/>
      <c r="Z582" s="6" t="n"/>
      <c r="AB582" s="9" t="n"/>
      <c r="AC582" s="9" t="n"/>
      <c r="AD582" s="9" t="n"/>
      <c r="AE582" s="9" t="n"/>
      <c r="AF582" s="9" t="n"/>
      <c r="AG582" s="9" t="n"/>
      <c r="AH582" s="9" t="n"/>
      <c r="AI582" s="9" t="n"/>
      <c r="AJ582" s="9" t="n"/>
      <c r="AK582" s="9" t="n"/>
      <c r="AL582" s="9" t="n"/>
      <c r="AM582" s="10" t="n"/>
    </row>
    <row r="583" ht="12.75" customHeight="1" s="562">
      <c r="E583" s="55" t="n"/>
      <c r="N583" s="10" t="n"/>
      <c r="O583" s="6" t="n"/>
      <c r="T583" s="6" t="n"/>
      <c r="Z583" s="6" t="n"/>
      <c r="AB583" s="9" t="n"/>
      <c r="AC583" s="9" t="n"/>
      <c r="AD583" s="9" t="n"/>
      <c r="AE583" s="9" t="n"/>
      <c r="AF583" s="9" t="n"/>
      <c r="AG583" s="9" t="n"/>
      <c r="AH583" s="9" t="n"/>
      <c r="AI583" s="9" t="n"/>
      <c r="AJ583" s="9" t="n"/>
      <c r="AK583" s="9" t="n"/>
      <c r="AL583" s="9" t="n"/>
      <c r="AM583" s="10" t="n"/>
    </row>
    <row r="584" ht="12.75" customHeight="1" s="562">
      <c r="E584" s="55" t="n"/>
      <c r="N584" s="10" t="n"/>
      <c r="O584" s="6" t="n"/>
      <c r="T584" s="6" t="n"/>
      <c r="Z584" s="6" t="n"/>
      <c r="AB584" s="9" t="n"/>
      <c r="AC584" s="9" t="n"/>
      <c r="AD584" s="9" t="n"/>
      <c r="AE584" s="9" t="n"/>
      <c r="AF584" s="9" t="n"/>
      <c r="AG584" s="9" t="n"/>
      <c r="AH584" s="9" t="n"/>
      <c r="AI584" s="9" t="n"/>
      <c r="AJ584" s="9" t="n"/>
      <c r="AK584" s="9" t="n"/>
      <c r="AL584" s="9" t="n"/>
      <c r="AM584" s="10" t="n"/>
    </row>
    <row r="585" ht="12.75" customHeight="1" s="562">
      <c r="E585" s="55" t="n"/>
      <c r="N585" s="10" t="n"/>
      <c r="O585" s="6" t="n"/>
      <c r="T585" s="6" t="n"/>
      <c r="Z585" s="6" t="n"/>
      <c r="AB585" s="9" t="n"/>
      <c r="AC585" s="9" t="n"/>
      <c r="AD585" s="9" t="n"/>
      <c r="AE585" s="9" t="n"/>
      <c r="AF585" s="9" t="n"/>
      <c r="AG585" s="9" t="n"/>
      <c r="AH585" s="9" t="n"/>
      <c r="AI585" s="9" t="n"/>
      <c r="AJ585" s="9" t="n"/>
      <c r="AK585" s="9" t="n"/>
      <c r="AL585" s="9" t="n"/>
      <c r="AM585" s="10" t="n"/>
    </row>
    <row r="586" ht="12.75" customHeight="1" s="562">
      <c r="E586" s="55" t="n"/>
      <c r="N586" s="10" t="n"/>
      <c r="O586" s="6" t="n"/>
      <c r="T586" s="6" t="n"/>
      <c r="Z586" s="6" t="n"/>
      <c r="AB586" s="9" t="n"/>
      <c r="AC586" s="9" t="n"/>
      <c r="AD586" s="9" t="n"/>
      <c r="AE586" s="9" t="n"/>
      <c r="AF586" s="9" t="n"/>
      <c r="AG586" s="9" t="n"/>
      <c r="AH586" s="9" t="n"/>
      <c r="AI586" s="9" t="n"/>
      <c r="AJ586" s="9" t="n"/>
      <c r="AK586" s="9" t="n"/>
      <c r="AL586" s="9" t="n"/>
      <c r="AM586" s="10" t="n"/>
    </row>
    <row r="587" ht="12.75" customHeight="1" s="562">
      <c r="E587" s="55" t="n"/>
      <c r="N587" s="10" t="n"/>
      <c r="O587" s="6" t="n"/>
      <c r="T587" s="6" t="n"/>
      <c r="Z587" s="6" t="n"/>
      <c r="AB587" s="9" t="n"/>
      <c r="AC587" s="9" t="n"/>
      <c r="AD587" s="9" t="n"/>
      <c r="AE587" s="9" t="n"/>
      <c r="AF587" s="9" t="n"/>
      <c r="AG587" s="9" t="n"/>
      <c r="AH587" s="9" t="n"/>
      <c r="AI587" s="9" t="n"/>
      <c r="AJ587" s="9" t="n"/>
      <c r="AK587" s="9" t="n"/>
      <c r="AL587" s="9" t="n"/>
      <c r="AM587" s="10" t="n"/>
    </row>
    <row r="588" ht="12.75" customHeight="1" s="562">
      <c r="E588" s="55" t="n"/>
      <c r="N588" s="10" t="n"/>
      <c r="O588" s="6" t="n"/>
      <c r="T588" s="6" t="n"/>
      <c r="Z588" s="6" t="n"/>
      <c r="AB588" s="9" t="n"/>
      <c r="AC588" s="9" t="n"/>
      <c r="AD588" s="9" t="n"/>
      <c r="AE588" s="9" t="n"/>
      <c r="AF588" s="9" t="n"/>
      <c r="AG588" s="9" t="n"/>
      <c r="AH588" s="9" t="n"/>
      <c r="AI588" s="9" t="n"/>
      <c r="AJ588" s="9" t="n"/>
      <c r="AK588" s="9" t="n"/>
      <c r="AL588" s="9" t="n"/>
      <c r="AM588" s="10" t="n"/>
    </row>
    <row r="589" ht="12.75" customHeight="1" s="562">
      <c r="E589" s="55" t="n"/>
      <c r="N589" s="10" t="n"/>
      <c r="O589" s="6" t="n"/>
      <c r="T589" s="6" t="n"/>
      <c r="Z589" s="6" t="n"/>
      <c r="AB589" s="9" t="n"/>
      <c r="AC589" s="9" t="n"/>
      <c r="AD589" s="9" t="n"/>
      <c r="AE589" s="9" t="n"/>
      <c r="AF589" s="9" t="n"/>
      <c r="AG589" s="9" t="n"/>
      <c r="AH589" s="9" t="n"/>
      <c r="AI589" s="9" t="n"/>
      <c r="AJ589" s="9" t="n"/>
      <c r="AK589" s="9" t="n"/>
      <c r="AL589" s="9" t="n"/>
      <c r="AM589" s="10" t="n"/>
    </row>
    <row r="590" ht="12.75" customHeight="1" s="562">
      <c r="E590" s="55" t="n"/>
      <c r="N590" s="10" t="n"/>
      <c r="O590" s="6" t="n"/>
      <c r="T590" s="6" t="n"/>
      <c r="Z590" s="6" t="n"/>
      <c r="AB590" s="9" t="n"/>
      <c r="AC590" s="9" t="n"/>
      <c r="AD590" s="9" t="n"/>
      <c r="AE590" s="9" t="n"/>
      <c r="AF590" s="9" t="n"/>
      <c r="AG590" s="9" t="n"/>
      <c r="AH590" s="9" t="n"/>
      <c r="AI590" s="9" t="n"/>
      <c r="AJ590" s="9" t="n"/>
      <c r="AK590" s="9" t="n"/>
      <c r="AL590" s="9" t="n"/>
      <c r="AM590" s="10" t="n"/>
    </row>
    <row r="591" ht="12.75" customHeight="1" s="562">
      <c r="E591" s="55" t="n"/>
      <c r="N591" s="10" t="n"/>
      <c r="O591" s="6" t="n"/>
      <c r="T591" s="6" t="n"/>
      <c r="Z591" s="6" t="n"/>
      <c r="AB591" s="9" t="n"/>
      <c r="AC591" s="9" t="n"/>
      <c r="AD591" s="9" t="n"/>
      <c r="AE591" s="9" t="n"/>
      <c r="AF591" s="9" t="n"/>
      <c r="AG591" s="9" t="n"/>
      <c r="AH591" s="9" t="n"/>
      <c r="AI591" s="9" t="n"/>
      <c r="AJ591" s="9" t="n"/>
      <c r="AK591" s="9" t="n"/>
      <c r="AL591" s="9" t="n"/>
      <c r="AM591" s="10" t="n"/>
    </row>
    <row r="592" ht="12.75" customHeight="1" s="562">
      <c r="E592" s="55" t="n"/>
      <c r="N592" s="10" t="n"/>
      <c r="O592" s="6" t="n"/>
      <c r="T592" s="6" t="n"/>
      <c r="Z592" s="6" t="n"/>
      <c r="AB592" s="9" t="n"/>
      <c r="AC592" s="9" t="n"/>
      <c r="AD592" s="9" t="n"/>
      <c r="AE592" s="9" t="n"/>
      <c r="AF592" s="9" t="n"/>
      <c r="AG592" s="9" t="n"/>
      <c r="AH592" s="9" t="n"/>
      <c r="AI592" s="9" t="n"/>
      <c r="AJ592" s="9" t="n"/>
      <c r="AK592" s="9" t="n"/>
      <c r="AL592" s="9" t="n"/>
      <c r="AM592" s="10" t="n"/>
    </row>
    <row r="593" ht="12.75" customHeight="1" s="562">
      <c r="E593" s="55" t="n"/>
      <c r="N593" s="10" t="n"/>
      <c r="O593" s="6" t="n"/>
      <c r="T593" s="6" t="n"/>
      <c r="Z593" s="6" t="n"/>
      <c r="AB593" s="9" t="n"/>
      <c r="AC593" s="9" t="n"/>
      <c r="AD593" s="9" t="n"/>
      <c r="AE593" s="9" t="n"/>
      <c r="AF593" s="9" t="n"/>
      <c r="AG593" s="9" t="n"/>
      <c r="AH593" s="9" t="n"/>
      <c r="AI593" s="9" t="n"/>
      <c r="AJ593" s="9" t="n"/>
      <c r="AK593" s="9" t="n"/>
      <c r="AL593" s="9" t="n"/>
      <c r="AM593" s="10" t="n"/>
    </row>
    <row r="594" ht="12.75" customHeight="1" s="562">
      <c r="E594" s="55" t="n"/>
      <c r="N594" s="10" t="n"/>
      <c r="O594" s="6" t="n"/>
      <c r="T594" s="6" t="n"/>
      <c r="Z594" s="6" t="n"/>
      <c r="AB594" s="9" t="n"/>
      <c r="AC594" s="9" t="n"/>
      <c r="AD594" s="9" t="n"/>
      <c r="AE594" s="9" t="n"/>
      <c r="AF594" s="9" t="n"/>
      <c r="AG594" s="9" t="n"/>
      <c r="AH594" s="9" t="n"/>
      <c r="AI594" s="9" t="n"/>
      <c r="AJ594" s="9" t="n"/>
      <c r="AK594" s="9" t="n"/>
      <c r="AL594" s="9" t="n"/>
      <c r="AM594" s="10" t="n"/>
    </row>
    <row r="595" ht="12.75" customHeight="1" s="562">
      <c r="E595" s="55" t="n"/>
      <c r="N595" s="10" t="n"/>
      <c r="O595" s="6" t="n"/>
      <c r="T595" s="6" t="n"/>
      <c r="Z595" s="6" t="n"/>
      <c r="AB595" s="9" t="n"/>
      <c r="AC595" s="9" t="n"/>
      <c r="AD595" s="9" t="n"/>
      <c r="AE595" s="9" t="n"/>
      <c r="AF595" s="9" t="n"/>
      <c r="AG595" s="9" t="n"/>
      <c r="AH595" s="9" t="n"/>
      <c r="AI595" s="9" t="n"/>
      <c r="AJ595" s="9" t="n"/>
      <c r="AK595" s="9" t="n"/>
      <c r="AL595" s="9" t="n"/>
      <c r="AM595" s="10" t="n"/>
    </row>
    <row r="596" ht="12.75" customHeight="1" s="562">
      <c r="E596" s="55" t="n"/>
      <c r="N596" s="10" t="n"/>
      <c r="O596" s="6" t="n"/>
      <c r="T596" s="6" t="n"/>
      <c r="Z596" s="6" t="n"/>
      <c r="AB596" s="9" t="n"/>
      <c r="AC596" s="9" t="n"/>
      <c r="AD596" s="9" t="n"/>
      <c r="AE596" s="9" t="n"/>
      <c r="AF596" s="9" t="n"/>
      <c r="AG596" s="9" t="n"/>
      <c r="AH596" s="9" t="n"/>
      <c r="AI596" s="9" t="n"/>
      <c r="AJ596" s="9" t="n"/>
      <c r="AK596" s="9" t="n"/>
      <c r="AL596" s="9" t="n"/>
      <c r="AM596" s="10" t="n"/>
    </row>
    <row r="597" ht="12.75" customHeight="1" s="562">
      <c r="E597" s="55" t="n"/>
      <c r="N597" s="10" t="n"/>
      <c r="O597" s="6" t="n"/>
      <c r="T597" s="6" t="n"/>
      <c r="Z597" s="6" t="n"/>
      <c r="AB597" s="9" t="n"/>
      <c r="AC597" s="9" t="n"/>
      <c r="AD597" s="9" t="n"/>
      <c r="AE597" s="9" t="n"/>
      <c r="AF597" s="9" t="n"/>
      <c r="AG597" s="9" t="n"/>
      <c r="AH597" s="9" t="n"/>
      <c r="AI597" s="9" t="n"/>
      <c r="AJ597" s="9" t="n"/>
      <c r="AK597" s="9" t="n"/>
      <c r="AL597" s="9" t="n"/>
      <c r="AM597" s="10" t="n"/>
    </row>
    <row r="598" ht="12.75" customHeight="1" s="562">
      <c r="E598" s="55" t="n"/>
      <c r="N598" s="10" t="n"/>
      <c r="O598" s="6" t="n"/>
      <c r="T598" s="6" t="n"/>
      <c r="Z598" s="6" t="n"/>
      <c r="AB598" s="9" t="n"/>
      <c r="AC598" s="9" t="n"/>
      <c r="AD598" s="9" t="n"/>
      <c r="AE598" s="9" t="n"/>
      <c r="AF598" s="9" t="n"/>
      <c r="AG598" s="9" t="n"/>
      <c r="AH598" s="9" t="n"/>
      <c r="AI598" s="9" t="n"/>
      <c r="AJ598" s="9" t="n"/>
      <c r="AK598" s="9" t="n"/>
      <c r="AL598" s="9" t="n"/>
      <c r="AM598" s="10" t="n"/>
    </row>
    <row r="599" ht="12.75" customHeight="1" s="562">
      <c r="E599" s="55" t="n"/>
      <c r="N599" s="10" t="n"/>
      <c r="O599" s="6" t="n"/>
      <c r="T599" s="6" t="n"/>
      <c r="Z599" s="6" t="n"/>
      <c r="AB599" s="9" t="n"/>
      <c r="AC599" s="9" t="n"/>
      <c r="AD599" s="9" t="n"/>
      <c r="AE599" s="9" t="n"/>
      <c r="AF599" s="9" t="n"/>
      <c r="AG599" s="9" t="n"/>
      <c r="AH599" s="9" t="n"/>
      <c r="AI599" s="9" t="n"/>
      <c r="AJ599" s="9" t="n"/>
      <c r="AK599" s="9" t="n"/>
      <c r="AL599" s="9" t="n"/>
      <c r="AM599" s="10" t="n"/>
    </row>
    <row r="600" ht="12.75" customHeight="1" s="562">
      <c r="E600" s="55" t="n"/>
      <c r="N600" s="10" t="n"/>
      <c r="O600" s="6" t="n"/>
      <c r="T600" s="6" t="n"/>
      <c r="Z600" s="6" t="n"/>
      <c r="AB600" s="9" t="n"/>
      <c r="AC600" s="9" t="n"/>
      <c r="AD600" s="9" t="n"/>
      <c r="AE600" s="9" t="n"/>
      <c r="AF600" s="9" t="n"/>
      <c r="AG600" s="9" t="n"/>
      <c r="AH600" s="9" t="n"/>
      <c r="AI600" s="9" t="n"/>
      <c r="AJ600" s="9" t="n"/>
      <c r="AK600" s="9" t="n"/>
      <c r="AL600" s="9" t="n"/>
      <c r="AM600" s="10" t="n"/>
    </row>
    <row r="601" ht="12.75" customHeight="1" s="562">
      <c r="E601" s="55" t="n"/>
      <c r="N601" s="10" t="n"/>
      <c r="O601" s="6" t="n"/>
      <c r="T601" s="6" t="n"/>
      <c r="Z601" s="6" t="n"/>
      <c r="AB601" s="9" t="n"/>
      <c r="AC601" s="9" t="n"/>
      <c r="AD601" s="9" t="n"/>
      <c r="AE601" s="9" t="n"/>
      <c r="AF601" s="9" t="n"/>
      <c r="AG601" s="9" t="n"/>
      <c r="AH601" s="9" t="n"/>
      <c r="AI601" s="9" t="n"/>
      <c r="AJ601" s="9" t="n"/>
      <c r="AK601" s="9" t="n"/>
      <c r="AL601" s="9" t="n"/>
      <c r="AM601" s="10" t="n"/>
    </row>
    <row r="602" ht="12.75" customHeight="1" s="562">
      <c r="E602" s="55" t="n"/>
      <c r="N602" s="10" t="n"/>
      <c r="O602" s="6" t="n"/>
      <c r="T602" s="6" t="n"/>
      <c r="Z602" s="6" t="n"/>
      <c r="AB602" s="9" t="n"/>
      <c r="AC602" s="9" t="n"/>
      <c r="AD602" s="9" t="n"/>
      <c r="AE602" s="9" t="n"/>
      <c r="AF602" s="9" t="n"/>
      <c r="AG602" s="9" t="n"/>
      <c r="AH602" s="9" t="n"/>
      <c r="AI602" s="9" t="n"/>
      <c r="AJ602" s="9" t="n"/>
      <c r="AK602" s="9" t="n"/>
      <c r="AL602" s="9" t="n"/>
      <c r="AM602" s="10" t="n"/>
    </row>
    <row r="603" ht="12.75" customHeight="1" s="562">
      <c r="E603" s="55" t="n"/>
      <c r="N603" s="10" t="n"/>
      <c r="O603" s="6" t="n"/>
      <c r="T603" s="6" t="n"/>
      <c r="Z603" s="6" t="n"/>
      <c r="AB603" s="9" t="n"/>
      <c r="AC603" s="9" t="n"/>
      <c r="AD603" s="9" t="n"/>
      <c r="AE603" s="9" t="n"/>
      <c r="AF603" s="9" t="n"/>
      <c r="AG603" s="9" t="n"/>
      <c r="AH603" s="9" t="n"/>
      <c r="AI603" s="9" t="n"/>
      <c r="AJ603" s="9" t="n"/>
      <c r="AK603" s="9" t="n"/>
      <c r="AL603" s="9" t="n"/>
      <c r="AM603" s="10" t="n"/>
    </row>
    <row r="604" ht="12.75" customHeight="1" s="562">
      <c r="E604" s="55" t="n"/>
      <c r="N604" s="10" t="n"/>
      <c r="O604" s="6" t="n"/>
      <c r="T604" s="6" t="n"/>
      <c r="Z604" s="6" t="n"/>
      <c r="AB604" s="9" t="n"/>
      <c r="AC604" s="9" t="n"/>
      <c r="AD604" s="9" t="n"/>
      <c r="AE604" s="9" t="n"/>
      <c r="AF604" s="9" t="n"/>
      <c r="AG604" s="9" t="n"/>
      <c r="AH604" s="9" t="n"/>
      <c r="AI604" s="9" t="n"/>
      <c r="AJ604" s="9" t="n"/>
      <c r="AK604" s="9" t="n"/>
      <c r="AL604" s="9" t="n"/>
      <c r="AM604" s="10" t="n"/>
    </row>
    <row r="605" ht="12.75" customHeight="1" s="562">
      <c r="E605" s="55" t="n"/>
      <c r="N605" s="10" t="n"/>
      <c r="O605" s="6" t="n"/>
      <c r="T605" s="6" t="n"/>
      <c r="Z605" s="6" t="n"/>
      <c r="AB605" s="9" t="n"/>
      <c r="AC605" s="9" t="n"/>
      <c r="AD605" s="9" t="n"/>
      <c r="AE605" s="9" t="n"/>
      <c r="AF605" s="9" t="n"/>
      <c r="AG605" s="9" t="n"/>
      <c r="AH605" s="9" t="n"/>
      <c r="AI605" s="9" t="n"/>
      <c r="AJ605" s="9" t="n"/>
      <c r="AK605" s="9" t="n"/>
      <c r="AL605" s="9" t="n"/>
      <c r="AM605" s="10" t="n"/>
    </row>
    <row r="606" ht="12.75" customHeight="1" s="562">
      <c r="E606" s="55" t="n"/>
      <c r="N606" s="10" t="n"/>
      <c r="O606" s="6" t="n"/>
      <c r="T606" s="6" t="n"/>
      <c r="Z606" s="6" t="n"/>
      <c r="AB606" s="9" t="n"/>
      <c r="AC606" s="9" t="n"/>
      <c r="AD606" s="9" t="n"/>
      <c r="AE606" s="9" t="n"/>
      <c r="AF606" s="9" t="n"/>
      <c r="AG606" s="9" t="n"/>
      <c r="AH606" s="9" t="n"/>
      <c r="AI606" s="9" t="n"/>
      <c r="AJ606" s="9" t="n"/>
      <c r="AK606" s="9" t="n"/>
      <c r="AL606" s="9" t="n"/>
      <c r="AM606" s="10" t="n"/>
    </row>
    <row r="607" ht="12.75" customHeight="1" s="562">
      <c r="E607" s="55" t="n"/>
      <c r="N607" s="10" t="n"/>
      <c r="O607" s="6" t="n"/>
      <c r="T607" s="6" t="n"/>
      <c r="Z607" s="6" t="n"/>
      <c r="AB607" s="9" t="n"/>
      <c r="AC607" s="9" t="n"/>
      <c r="AD607" s="9" t="n"/>
      <c r="AE607" s="9" t="n"/>
      <c r="AF607" s="9" t="n"/>
      <c r="AG607" s="9" t="n"/>
      <c r="AH607" s="9" t="n"/>
      <c r="AI607" s="9" t="n"/>
      <c r="AJ607" s="9" t="n"/>
      <c r="AK607" s="9" t="n"/>
      <c r="AL607" s="9" t="n"/>
      <c r="AM607" s="10" t="n"/>
    </row>
    <row r="608" ht="12.75" customHeight="1" s="562">
      <c r="E608" s="55" t="n"/>
      <c r="N608" s="10" t="n"/>
      <c r="O608" s="6" t="n"/>
      <c r="T608" s="6" t="n"/>
      <c r="Z608" s="6" t="n"/>
      <c r="AB608" s="9" t="n"/>
      <c r="AC608" s="9" t="n"/>
      <c r="AD608" s="9" t="n"/>
      <c r="AE608" s="9" t="n"/>
      <c r="AF608" s="9" t="n"/>
      <c r="AG608" s="9" t="n"/>
      <c r="AH608" s="9" t="n"/>
      <c r="AI608" s="9" t="n"/>
      <c r="AJ608" s="9" t="n"/>
      <c r="AK608" s="9" t="n"/>
      <c r="AL608" s="9" t="n"/>
      <c r="AM608" s="10" t="n"/>
    </row>
    <row r="609" ht="12.75" customHeight="1" s="562">
      <c r="E609" s="55" t="n"/>
      <c r="N609" s="10" t="n"/>
      <c r="O609" s="6" t="n"/>
      <c r="T609" s="6" t="n"/>
      <c r="Z609" s="6" t="n"/>
      <c r="AB609" s="9" t="n"/>
      <c r="AC609" s="9" t="n"/>
      <c r="AD609" s="9" t="n"/>
      <c r="AE609" s="9" t="n"/>
      <c r="AF609" s="9" t="n"/>
      <c r="AG609" s="9" t="n"/>
      <c r="AH609" s="9" t="n"/>
      <c r="AI609" s="9" t="n"/>
      <c r="AJ609" s="9" t="n"/>
      <c r="AK609" s="9" t="n"/>
      <c r="AL609" s="9" t="n"/>
      <c r="AM609" s="10" t="n"/>
    </row>
    <row r="610" ht="12.75" customHeight="1" s="562">
      <c r="E610" s="55" t="n"/>
      <c r="N610" s="10" t="n"/>
      <c r="O610" s="6" t="n"/>
      <c r="T610" s="6" t="n"/>
      <c r="Z610" s="6" t="n"/>
      <c r="AB610" s="9" t="n"/>
      <c r="AC610" s="9" t="n"/>
      <c r="AD610" s="9" t="n"/>
      <c r="AE610" s="9" t="n"/>
      <c r="AF610" s="9" t="n"/>
      <c r="AG610" s="9" t="n"/>
      <c r="AH610" s="9" t="n"/>
      <c r="AI610" s="9" t="n"/>
      <c r="AJ610" s="9" t="n"/>
      <c r="AK610" s="9" t="n"/>
      <c r="AL610" s="9" t="n"/>
      <c r="AM610" s="10" t="n"/>
    </row>
    <row r="611" ht="12.75" customHeight="1" s="562">
      <c r="E611" s="55" t="n"/>
      <c r="N611" s="10" t="n"/>
      <c r="O611" s="6" t="n"/>
      <c r="T611" s="6" t="n"/>
      <c r="Z611" s="6" t="n"/>
      <c r="AB611" s="9" t="n"/>
      <c r="AC611" s="9" t="n"/>
      <c r="AD611" s="9" t="n"/>
      <c r="AE611" s="9" t="n"/>
      <c r="AF611" s="9" t="n"/>
      <c r="AG611" s="9" t="n"/>
      <c r="AH611" s="9" t="n"/>
      <c r="AI611" s="9" t="n"/>
      <c r="AJ611" s="9" t="n"/>
      <c r="AK611" s="9" t="n"/>
      <c r="AL611" s="9" t="n"/>
      <c r="AM611" s="10" t="n"/>
    </row>
    <row r="612" ht="12.75" customHeight="1" s="562">
      <c r="E612" s="55" t="n"/>
      <c r="N612" s="10" t="n"/>
      <c r="O612" s="6" t="n"/>
      <c r="T612" s="6" t="n"/>
      <c r="Z612" s="6" t="n"/>
      <c r="AB612" s="9" t="n"/>
      <c r="AC612" s="9" t="n"/>
      <c r="AD612" s="9" t="n"/>
      <c r="AE612" s="9" t="n"/>
      <c r="AF612" s="9" t="n"/>
      <c r="AG612" s="9" t="n"/>
      <c r="AH612" s="9" t="n"/>
      <c r="AI612" s="9" t="n"/>
      <c r="AJ612" s="9" t="n"/>
      <c r="AK612" s="9" t="n"/>
      <c r="AL612" s="9" t="n"/>
      <c r="AM612" s="10" t="n"/>
    </row>
    <row r="613" ht="12.75" customHeight="1" s="562">
      <c r="E613" s="55" t="n"/>
      <c r="N613" s="10" t="n"/>
      <c r="O613" s="6" t="n"/>
      <c r="T613" s="6" t="n"/>
      <c r="Z613" s="6" t="n"/>
      <c r="AB613" s="9" t="n"/>
      <c r="AC613" s="9" t="n"/>
      <c r="AD613" s="9" t="n"/>
      <c r="AE613" s="9" t="n"/>
      <c r="AF613" s="9" t="n"/>
      <c r="AG613" s="9" t="n"/>
      <c r="AH613" s="9" t="n"/>
      <c r="AI613" s="9" t="n"/>
      <c r="AJ613" s="9" t="n"/>
      <c r="AK613" s="9" t="n"/>
      <c r="AL613" s="9" t="n"/>
      <c r="AM613" s="10" t="n"/>
    </row>
    <row r="614" ht="12.75" customHeight="1" s="562">
      <c r="E614" s="55" t="n"/>
      <c r="N614" s="10" t="n"/>
      <c r="O614" s="6" t="n"/>
      <c r="T614" s="6" t="n"/>
      <c r="Z614" s="6" t="n"/>
      <c r="AB614" s="9" t="n"/>
      <c r="AC614" s="9" t="n"/>
      <c r="AD614" s="9" t="n"/>
      <c r="AE614" s="9" t="n"/>
      <c r="AF614" s="9" t="n"/>
      <c r="AG614" s="9" t="n"/>
      <c r="AH614" s="9" t="n"/>
      <c r="AI614" s="9" t="n"/>
      <c r="AJ614" s="9" t="n"/>
      <c r="AK614" s="9" t="n"/>
      <c r="AL614" s="9" t="n"/>
      <c r="AM614" s="10" t="n"/>
    </row>
    <row r="615" ht="12.75" customHeight="1" s="562">
      <c r="E615" s="55" t="n"/>
      <c r="N615" s="10" t="n"/>
      <c r="O615" s="6" t="n"/>
      <c r="T615" s="6" t="n"/>
      <c r="Z615" s="6" t="n"/>
      <c r="AB615" s="9" t="n"/>
      <c r="AC615" s="9" t="n"/>
      <c r="AD615" s="9" t="n"/>
      <c r="AE615" s="9" t="n"/>
      <c r="AF615" s="9" t="n"/>
      <c r="AG615" s="9" t="n"/>
      <c r="AH615" s="9" t="n"/>
      <c r="AI615" s="9" t="n"/>
      <c r="AJ615" s="9" t="n"/>
      <c r="AK615" s="9" t="n"/>
      <c r="AL615" s="9" t="n"/>
      <c r="AM615" s="10" t="n"/>
    </row>
    <row r="616" ht="12.75" customHeight="1" s="562">
      <c r="E616" s="55" t="n"/>
      <c r="N616" s="10" t="n"/>
      <c r="O616" s="6" t="n"/>
      <c r="T616" s="6" t="n"/>
      <c r="Z616" s="6" t="n"/>
      <c r="AB616" s="9" t="n"/>
      <c r="AC616" s="9" t="n"/>
      <c r="AD616" s="9" t="n"/>
      <c r="AE616" s="9" t="n"/>
      <c r="AF616" s="9" t="n"/>
      <c r="AG616" s="9" t="n"/>
      <c r="AH616" s="9" t="n"/>
      <c r="AI616" s="9" t="n"/>
      <c r="AJ616" s="9" t="n"/>
      <c r="AK616" s="9" t="n"/>
      <c r="AL616" s="9" t="n"/>
      <c r="AM616" s="10" t="n"/>
    </row>
    <row r="617" ht="12.75" customHeight="1" s="562">
      <c r="E617" s="55" t="n"/>
      <c r="N617" s="10" t="n"/>
      <c r="O617" s="6" t="n"/>
      <c r="T617" s="6" t="n"/>
      <c r="Z617" s="6" t="n"/>
      <c r="AB617" s="9" t="n"/>
      <c r="AC617" s="9" t="n"/>
      <c r="AD617" s="9" t="n"/>
      <c r="AE617" s="9" t="n"/>
      <c r="AF617" s="9" t="n"/>
      <c r="AG617" s="9" t="n"/>
      <c r="AH617" s="9" t="n"/>
      <c r="AI617" s="9" t="n"/>
      <c r="AJ617" s="9" t="n"/>
      <c r="AK617" s="9" t="n"/>
      <c r="AL617" s="9" t="n"/>
      <c r="AM617" s="10" t="n"/>
    </row>
    <row r="618" ht="12.75" customHeight="1" s="562">
      <c r="E618" s="55" t="n"/>
      <c r="N618" s="10" t="n"/>
      <c r="O618" s="6" t="n"/>
      <c r="T618" s="6" t="n"/>
      <c r="Z618" s="6" t="n"/>
      <c r="AB618" s="9" t="n"/>
      <c r="AC618" s="9" t="n"/>
      <c r="AD618" s="9" t="n"/>
      <c r="AE618" s="9" t="n"/>
      <c r="AF618" s="9" t="n"/>
      <c r="AG618" s="9" t="n"/>
      <c r="AH618" s="9" t="n"/>
      <c r="AI618" s="9" t="n"/>
      <c r="AJ618" s="9" t="n"/>
      <c r="AK618" s="9" t="n"/>
      <c r="AL618" s="9" t="n"/>
      <c r="AM618" s="10" t="n"/>
    </row>
    <row r="619" ht="12.75" customHeight="1" s="562">
      <c r="E619" s="55" t="n"/>
      <c r="N619" s="10" t="n"/>
      <c r="O619" s="6" t="n"/>
      <c r="T619" s="6" t="n"/>
      <c r="Z619" s="6" t="n"/>
      <c r="AB619" s="9" t="n"/>
      <c r="AC619" s="9" t="n"/>
      <c r="AD619" s="9" t="n"/>
      <c r="AE619" s="9" t="n"/>
      <c r="AF619" s="9" t="n"/>
      <c r="AG619" s="9" t="n"/>
      <c r="AH619" s="9" t="n"/>
      <c r="AI619" s="9" t="n"/>
      <c r="AJ619" s="9" t="n"/>
      <c r="AK619" s="9" t="n"/>
      <c r="AL619" s="9" t="n"/>
      <c r="AM619" s="10" t="n"/>
    </row>
    <row r="620" ht="12.75" customHeight="1" s="562">
      <c r="E620" s="55" t="n"/>
      <c r="N620" s="10" t="n"/>
      <c r="O620" s="6" t="n"/>
      <c r="T620" s="6" t="n"/>
      <c r="Z620" s="6" t="n"/>
      <c r="AB620" s="9" t="n"/>
      <c r="AC620" s="9" t="n"/>
      <c r="AD620" s="9" t="n"/>
      <c r="AE620" s="9" t="n"/>
      <c r="AF620" s="9" t="n"/>
      <c r="AG620" s="9" t="n"/>
      <c r="AH620" s="9" t="n"/>
      <c r="AI620" s="9" t="n"/>
      <c r="AJ620" s="9" t="n"/>
      <c r="AK620" s="9" t="n"/>
      <c r="AL620" s="9" t="n"/>
      <c r="AM620" s="10" t="n"/>
    </row>
    <row r="621" ht="12.75" customHeight="1" s="562">
      <c r="E621" s="55" t="n"/>
      <c r="N621" s="10" t="n"/>
      <c r="O621" s="6" t="n"/>
      <c r="T621" s="6" t="n"/>
      <c r="Z621" s="6" t="n"/>
      <c r="AB621" s="9" t="n"/>
      <c r="AC621" s="9" t="n"/>
      <c r="AD621" s="9" t="n"/>
      <c r="AE621" s="9" t="n"/>
      <c r="AF621" s="9" t="n"/>
      <c r="AG621" s="9" t="n"/>
      <c r="AH621" s="9" t="n"/>
      <c r="AI621" s="9" t="n"/>
      <c r="AJ621" s="9" t="n"/>
      <c r="AK621" s="9" t="n"/>
      <c r="AL621" s="9" t="n"/>
      <c r="AM621" s="10" t="n"/>
    </row>
    <row r="622" ht="12.75" customHeight="1" s="562">
      <c r="E622" s="55" t="n"/>
      <c r="N622" s="10" t="n"/>
      <c r="O622" s="6" t="n"/>
      <c r="T622" s="6" t="n"/>
      <c r="Z622" s="6" t="n"/>
      <c r="AB622" s="9" t="n"/>
      <c r="AC622" s="9" t="n"/>
      <c r="AD622" s="9" t="n"/>
      <c r="AE622" s="9" t="n"/>
      <c r="AF622" s="9" t="n"/>
      <c r="AG622" s="9" t="n"/>
      <c r="AH622" s="9" t="n"/>
      <c r="AI622" s="9" t="n"/>
      <c r="AJ622" s="9" t="n"/>
      <c r="AK622" s="9" t="n"/>
      <c r="AL622" s="9" t="n"/>
      <c r="AM622" s="10" t="n"/>
    </row>
    <row r="623" ht="12.75" customHeight="1" s="562">
      <c r="E623" s="55" t="n"/>
      <c r="N623" s="10" t="n"/>
      <c r="O623" s="6" t="n"/>
      <c r="T623" s="6" t="n"/>
      <c r="Z623" s="6" t="n"/>
      <c r="AB623" s="9" t="n"/>
      <c r="AC623" s="9" t="n"/>
      <c r="AD623" s="9" t="n"/>
      <c r="AE623" s="9" t="n"/>
      <c r="AF623" s="9" t="n"/>
      <c r="AG623" s="9" t="n"/>
      <c r="AH623" s="9" t="n"/>
      <c r="AI623" s="9" t="n"/>
      <c r="AJ623" s="9" t="n"/>
      <c r="AK623" s="9" t="n"/>
      <c r="AL623" s="9" t="n"/>
      <c r="AM623" s="10" t="n"/>
    </row>
    <row r="624" ht="12.75" customHeight="1" s="562">
      <c r="E624" s="55" t="n"/>
      <c r="N624" s="10" t="n"/>
      <c r="O624" s="6" t="n"/>
      <c r="T624" s="6" t="n"/>
      <c r="Z624" s="6" t="n"/>
      <c r="AB624" s="9" t="n"/>
      <c r="AC624" s="9" t="n"/>
      <c r="AD624" s="9" t="n"/>
      <c r="AE624" s="9" t="n"/>
      <c r="AF624" s="9" t="n"/>
      <c r="AG624" s="9" t="n"/>
      <c r="AH624" s="9" t="n"/>
      <c r="AI624" s="9" t="n"/>
      <c r="AJ624" s="9" t="n"/>
      <c r="AK624" s="9" t="n"/>
      <c r="AL624" s="9" t="n"/>
      <c r="AM624" s="10" t="n"/>
    </row>
    <row r="625" ht="12.75" customHeight="1" s="562">
      <c r="E625" s="55" t="n"/>
      <c r="N625" s="10" t="n"/>
      <c r="O625" s="6" t="n"/>
      <c r="T625" s="6" t="n"/>
      <c r="Z625" s="6" t="n"/>
      <c r="AB625" s="9" t="n"/>
      <c r="AC625" s="9" t="n"/>
      <c r="AD625" s="9" t="n"/>
      <c r="AE625" s="9" t="n"/>
      <c r="AF625" s="9" t="n"/>
      <c r="AG625" s="9" t="n"/>
      <c r="AH625" s="9" t="n"/>
      <c r="AI625" s="9" t="n"/>
      <c r="AJ625" s="9" t="n"/>
      <c r="AK625" s="9" t="n"/>
      <c r="AL625" s="9" t="n"/>
      <c r="AM625" s="10" t="n"/>
    </row>
    <row r="626" ht="12.75" customHeight="1" s="562">
      <c r="E626" s="55" t="n"/>
      <c r="N626" s="10" t="n"/>
      <c r="O626" s="6" t="n"/>
      <c r="T626" s="6" t="n"/>
      <c r="Z626" s="6" t="n"/>
      <c r="AB626" s="9" t="n"/>
      <c r="AC626" s="9" t="n"/>
      <c r="AD626" s="9" t="n"/>
      <c r="AE626" s="9" t="n"/>
      <c r="AF626" s="9" t="n"/>
      <c r="AG626" s="9" t="n"/>
      <c r="AH626" s="9" t="n"/>
      <c r="AI626" s="9" t="n"/>
      <c r="AJ626" s="9" t="n"/>
      <c r="AK626" s="9" t="n"/>
      <c r="AL626" s="9" t="n"/>
      <c r="AM626" s="10" t="n"/>
    </row>
    <row r="627" ht="12.75" customHeight="1" s="562">
      <c r="E627" s="55" t="n"/>
      <c r="N627" s="10" t="n"/>
      <c r="O627" s="6" t="n"/>
      <c r="T627" s="6" t="n"/>
      <c r="Z627" s="6" t="n"/>
      <c r="AB627" s="9" t="n"/>
      <c r="AC627" s="9" t="n"/>
      <c r="AD627" s="9" t="n"/>
      <c r="AE627" s="9" t="n"/>
      <c r="AF627" s="9" t="n"/>
      <c r="AG627" s="9" t="n"/>
      <c r="AH627" s="9" t="n"/>
      <c r="AI627" s="9" t="n"/>
      <c r="AJ627" s="9" t="n"/>
      <c r="AK627" s="9" t="n"/>
      <c r="AL627" s="9" t="n"/>
      <c r="AM627" s="10" t="n"/>
    </row>
    <row r="628" ht="12.75" customHeight="1" s="562">
      <c r="E628" s="55" t="n"/>
      <c r="N628" s="10" t="n"/>
      <c r="O628" s="6" t="n"/>
      <c r="T628" s="6" t="n"/>
      <c r="Z628" s="6" t="n"/>
      <c r="AB628" s="9" t="n"/>
      <c r="AC628" s="9" t="n"/>
      <c r="AD628" s="9" t="n"/>
      <c r="AE628" s="9" t="n"/>
      <c r="AF628" s="9" t="n"/>
      <c r="AG628" s="9" t="n"/>
      <c r="AH628" s="9" t="n"/>
      <c r="AI628" s="9" t="n"/>
      <c r="AJ628" s="9" t="n"/>
      <c r="AK628" s="9" t="n"/>
      <c r="AL628" s="9" t="n"/>
      <c r="AM628" s="10" t="n"/>
    </row>
    <row r="629" ht="12.75" customHeight="1" s="562">
      <c r="E629" s="55" t="n"/>
      <c r="N629" s="10" t="n"/>
      <c r="O629" s="6" t="n"/>
      <c r="T629" s="6" t="n"/>
      <c r="Z629" s="6" t="n"/>
      <c r="AB629" s="9" t="n"/>
      <c r="AC629" s="9" t="n"/>
      <c r="AD629" s="9" t="n"/>
      <c r="AE629" s="9" t="n"/>
      <c r="AF629" s="9" t="n"/>
      <c r="AG629" s="9" t="n"/>
      <c r="AH629" s="9" t="n"/>
      <c r="AI629" s="9" t="n"/>
      <c r="AJ629" s="9" t="n"/>
      <c r="AK629" s="9" t="n"/>
      <c r="AL629" s="9" t="n"/>
      <c r="AM629" s="10" t="n"/>
    </row>
    <row r="630" ht="12.75" customHeight="1" s="562">
      <c r="E630" s="55" t="n"/>
      <c r="N630" s="10" t="n"/>
      <c r="O630" s="6" t="n"/>
      <c r="T630" s="6" t="n"/>
      <c r="Z630" s="6" t="n"/>
      <c r="AB630" s="9" t="n"/>
      <c r="AC630" s="9" t="n"/>
      <c r="AD630" s="9" t="n"/>
      <c r="AE630" s="9" t="n"/>
      <c r="AF630" s="9" t="n"/>
      <c r="AG630" s="9" t="n"/>
      <c r="AH630" s="9" t="n"/>
      <c r="AI630" s="9" t="n"/>
      <c r="AJ630" s="9" t="n"/>
      <c r="AK630" s="9" t="n"/>
      <c r="AL630" s="9" t="n"/>
      <c r="AM630" s="10" t="n"/>
    </row>
    <row r="631" ht="12.75" customHeight="1" s="562">
      <c r="E631" s="55" t="n"/>
      <c r="N631" s="10" t="n"/>
      <c r="O631" s="6" t="n"/>
      <c r="T631" s="6" t="n"/>
      <c r="Z631" s="6" t="n"/>
      <c r="AB631" s="9" t="n"/>
      <c r="AC631" s="9" t="n"/>
      <c r="AD631" s="9" t="n"/>
      <c r="AE631" s="9" t="n"/>
      <c r="AF631" s="9" t="n"/>
      <c r="AG631" s="9" t="n"/>
      <c r="AH631" s="9" t="n"/>
      <c r="AI631" s="9" t="n"/>
      <c r="AJ631" s="9" t="n"/>
      <c r="AK631" s="9" t="n"/>
      <c r="AL631" s="9" t="n"/>
      <c r="AM631" s="10" t="n"/>
    </row>
    <row r="632" ht="12.75" customHeight="1" s="562">
      <c r="E632" s="55" t="n"/>
      <c r="N632" s="10" t="n"/>
      <c r="O632" s="6" t="n"/>
      <c r="T632" s="6" t="n"/>
      <c r="Z632" s="6" t="n"/>
      <c r="AB632" s="9" t="n"/>
      <c r="AC632" s="9" t="n"/>
      <c r="AD632" s="9" t="n"/>
      <c r="AE632" s="9" t="n"/>
      <c r="AF632" s="9" t="n"/>
      <c r="AG632" s="9" t="n"/>
      <c r="AH632" s="9" t="n"/>
      <c r="AI632" s="9" t="n"/>
      <c r="AJ632" s="9" t="n"/>
      <c r="AK632" s="9" t="n"/>
      <c r="AL632" s="9" t="n"/>
      <c r="AM632" s="10" t="n"/>
    </row>
    <row r="633" ht="12.75" customHeight="1" s="562">
      <c r="E633" s="55" t="n"/>
      <c r="N633" s="10" t="n"/>
      <c r="O633" s="6" t="n"/>
      <c r="T633" s="6" t="n"/>
      <c r="Z633" s="6" t="n"/>
      <c r="AB633" s="9" t="n"/>
      <c r="AC633" s="9" t="n"/>
      <c r="AD633" s="9" t="n"/>
      <c r="AE633" s="9" t="n"/>
      <c r="AF633" s="9" t="n"/>
      <c r="AG633" s="9" t="n"/>
      <c r="AH633" s="9" t="n"/>
      <c r="AI633" s="9" t="n"/>
      <c r="AJ633" s="9" t="n"/>
      <c r="AK633" s="9" t="n"/>
      <c r="AL633" s="9" t="n"/>
      <c r="AM633" s="10" t="n"/>
    </row>
    <row r="634" ht="12.75" customHeight="1" s="562">
      <c r="E634" s="55" t="n"/>
      <c r="N634" s="10" t="n"/>
      <c r="O634" s="6" t="n"/>
      <c r="T634" s="6" t="n"/>
      <c r="Z634" s="6" t="n"/>
      <c r="AB634" s="9" t="n"/>
      <c r="AC634" s="9" t="n"/>
      <c r="AD634" s="9" t="n"/>
      <c r="AE634" s="9" t="n"/>
      <c r="AF634" s="9" t="n"/>
      <c r="AG634" s="9" t="n"/>
      <c r="AH634" s="9" t="n"/>
      <c r="AI634" s="9" t="n"/>
      <c r="AJ634" s="9" t="n"/>
      <c r="AK634" s="9" t="n"/>
      <c r="AL634" s="9" t="n"/>
      <c r="AM634" s="10" t="n"/>
    </row>
    <row r="635" ht="12.75" customHeight="1" s="562">
      <c r="E635" s="55" t="n"/>
      <c r="N635" s="10" t="n"/>
      <c r="O635" s="6" t="n"/>
      <c r="T635" s="6" t="n"/>
      <c r="Z635" s="6" t="n"/>
      <c r="AB635" s="9" t="n"/>
      <c r="AC635" s="9" t="n"/>
      <c r="AD635" s="9" t="n"/>
      <c r="AE635" s="9" t="n"/>
      <c r="AF635" s="9" t="n"/>
      <c r="AG635" s="9" t="n"/>
      <c r="AH635" s="9" t="n"/>
      <c r="AI635" s="9" t="n"/>
      <c r="AJ635" s="9" t="n"/>
      <c r="AK635" s="9" t="n"/>
      <c r="AL635" s="9" t="n"/>
      <c r="AM635" s="10" t="n"/>
    </row>
    <row r="636" ht="12.75" customHeight="1" s="562">
      <c r="E636" s="55" t="n"/>
      <c r="N636" s="10" t="n"/>
      <c r="O636" s="6" t="n"/>
      <c r="T636" s="6" t="n"/>
      <c r="Z636" s="6" t="n"/>
      <c r="AB636" s="9" t="n"/>
      <c r="AC636" s="9" t="n"/>
      <c r="AD636" s="9" t="n"/>
      <c r="AE636" s="9" t="n"/>
      <c r="AF636" s="9" t="n"/>
      <c r="AG636" s="9" t="n"/>
      <c r="AH636" s="9" t="n"/>
      <c r="AI636" s="9" t="n"/>
      <c r="AJ636" s="9" t="n"/>
      <c r="AK636" s="9" t="n"/>
      <c r="AL636" s="9" t="n"/>
      <c r="AM636" s="10" t="n"/>
    </row>
    <row r="637" ht="12.75" customHeight="1" s="562">
      <c r="E637" s="55" t="n"/>
      <c r="N637" s="10" t="n"/>
      <c r="O637" s="6" t="n"/>
      <c r="T637" s="6" t="n"/>
      <c r="Z637" s="6" t="n"/>
      <c r="AB637" s="9" t="n"/>
      <c r="AC637" s="9" t="n"/>
      <c r="AD637" s="9" t="n"/>
      <c r="AE637" s="9" t="n"/>
      <c r="AF637" s="9" t="n"/>
      <c r="AG637" s="9" t="n"/>
      <c r="AH637" s="9" t="n"/>
      <c r="AI637" s="9" t="n"/>
      <c r="AJ637" s="9" t="n"/>
      <c r="AK637" s="9" t="n"/>
      <c r="AL637" s="9" t="n"/>
      <c r="AM637" s="10" t="n"/>
    </row>
    <row r="638" ht="12.75" customHeight="1" s="562">
      <c r="E638" s="55" t="n"/>
      <c r="N638" s="10" t="n"/>
      <c r="O638" s="6" t="n"/>
      <c r="T638" s="6" t="n"/>
      <c r="Z638" s="6" t="n"/>
      <c r="AB638" s="9" t="n"/>
      <c r="AC638" s="9" t="n"/>
      <c r="AD638" s="9" t="n"/>
      <c r="AE638" s="9" t="n"/>
      <c r="AF638" s="9" t="n"/>
      <c r="AG638" s="9" t="n"/>
      <c r="AH638" s="9" t="n"/>
      <c r="AI638" s="9" t="n"/>
      <c r="AJ638" s="9" t="n"/>
      <c r="AK638" s="9" t="n"/>
      <c r="AL638" s="9" t="n"/>
      <c r="AM638" s="10" t="n"/>
    </row>
    <row r="639" ht="12.75" customHeight="1" s="562">
      <c r="E639" s="55" t="n"/>
      <c r="N639" s="10" t="n"/>
      <c r="O639" s="6" t="n"/>
      <c r="T639" s="6" t="n"/>
      <c r="Z639" s="6" t="n"/>
      <c r="AB639" s="9" t="n"/>
      <c r="AC639" s="9" t="n"/>
      <c r="AD639" s="9" t="n"/>
      <c r="AE639" s="9" t="n"/>
      <c r="AF639" s="9" t="n"/>
      <c r="AG639" s="9" t="n"/>
      <c r="AH639" s="9" t="n"/>
      <c r="AI639" s="9" t="n"/>
      <c r="AJ639" s="9" t="n"/>
      <c r="AK639" s="9" t="n"/>
      <c r="AL639" s="9" t="n"/>
      <c r="AM639" s="10" t="n"/>
    </row>
    <row r="640" ht="12.75" customHeight="1" s="562">
      <c r="E640" s="55" t="n"/>
      <c r="N640" s="10" t="n"/>
      <c r="O640" s="6" t="n"/>
      <c r="T640" s="6" t="n"/>
      <c r="Z640" s="6" t="n"/>
      <c r="AB640" s="9" t="n"/>
      <c r="AC640" s="9" t="n"/>
      <c r="AD640" s="9" t="n"/>
      <c r="AE640" s="9" t="n"/>
      <c r="AF640" s="9" t="n"/>
      <c r="AG640" s="9" t="n"/>
      <c r="AH640" s="9" t="n"/>
      <c r="AI640" s="9" t="n"/>
      <c r="AJ640" s="9" t="n"/>
      <c r="AK640" s="9" t="n"/>
      <c r="AL640" s="9" t="n"/>
      <c r="AM640" s="10" t="n"/>
    </row>
    <row r="641" ht="12.75" customHeight="1" s="562">
      <c r="E641" s="55" t="n"/>
      <c r="N641" s="10" t="n"/>
      <c r="O641" s="6" t="n"/>
      <c r="T641" s="6" t="n"/>
      <c r="Z641" s="6" t="n"/>
      <c r="AB641" s="9" t="n"/>
      <c r="AC641" s="9" t="n"/>
      <c r="AD641" s="9" t="n"/>
      <c r="AE641" s="9" t="n"/>
      <c r="AF641" s="9" t="n"/>
      <c r="AG641" s="9" t="n"/>
      <c r="AH641" s="9" t="n"/>
      <c r="AI641" s="9" t="n"/>
      <c r="AJ641" s="9" t="n"/>
      <c r="AK641" s="9" t="n"/>
      <c r="AL641" s="9" t="n"/>
      <c r="AM641" s="10" t="n"/>
    </row>
    <row r="642" ht="12.75" customHeight="1" s="562">
      <c r="E642" s="55" t="n"/>
      <c r="N642" s="10" t="n"/>
      <c r="O642" s="6" t="n"/>
      <c r="T642" s="6" t="n"/>
      <c r="Z642" s="6" t="n"/>
      <c r="AB642" s="9" t="n"/>
      <c r="AC642" s="9" t="n"/>
      <c r="AD642" s="9" t="n"/>
      <c r="AE642" s="9" t="n"/>
      <c r="AF642" s="9" t="n"/>
      <c r="AG642" s="9" t="n"/>
      <c r="AH642" s="9" t="n"/>
      <c r="AI642" s="9" t="n"/>
      <c r="AJ642" s="9" t="n"/>
      <c r="AK642" s="9" t="n"/>
      <c r="AL642" s="9" t="n"/>
      <c r="AM642" s="10" t="n"/>
    </row>
    <row r="643" ht="12.75" customHeight="1" s="562">
      <c r="E643" s="55" t="n"/>
      <c r="N643" s="10" t="n"/>
      <c r="O643" s="6" t="n"/>
      <c r="T643" s="6" t="n"/>
      <c r="Z643" s="6" t="n"/>
      <c r="AB643" s="9" t="n"/>
      <c r="AC643" s="9" t="n"/>
      <c r="AD643" s="9" t="n"/>
      <c r="AE643" s="9" t="n"/>
      <c r="AF643" s="9" t="n"/>
      <c r="AG643" s="9" t="n"/>
      <c r="AH643" s="9" t="n"/>
      <c r="AI643" s="9" t="n"/>
      <c r="AJ643" s="9" t="n"/>
      <c r="AK643" s="9" t="n"/>
      <c r="AL643" s="9" t="n"/>
      <c r="AM643" s="10" t="n"/>
    </row>
    <row r="644" ht="12.75" customHeight="1" s="562">
      <c r="E644" s="55" t="n"/>
      <c r="N644" s="10" t="n"/>
      <c r="O644" s="6" t="n"/>
      <c r="T644" s="6" t="n"/>
      <c r="Z644" s="6" t="n"/>
      <c r="AB644" s="9" t="n"/>
      <c r="AC644" s="9" t="n"/>
      <c r="AD644" s="9" t="n"/>
      <c r="AE644" s="9" t="n"/>
      <c r="AF644" s="9" t="n"/>
      <c r="AG644" s="9" t="n"/>
      <c r="AH644" s="9" t="n"/>
      <c r="AI644" s="9" t="n"/>
      <c r="AJ644" s="9" t="n"/>
      <c r="AK644" s="9" t="n"/>
      <c r="AL644" s="9" t="n"/>
      <c r="AM644" s="10" t="n"/>
    </row>
    <row r="645" ht="12.75" customHeight="1" s="562">
      <c r="E645" s="55" t="n"/>
      <c r="N645" s="10" t="n"/>
      <c r="O645" s="6" t="n"/>
      <c r="T645" s="6" t="n"/>
      <c r="Z645" s="6" t="n"/>
      <c r="AB645" s="9" t="n"/>
      <c r="AC645" s="9" t="n"/>
      <c r="AD645" s="9" t="n"/>
      <c r="AE645" s="9" t="n"/>
      <c r="AF645" s="9" t="n"/>
      <c r="AG645" s="9" t="n"/>
      <c r="AH645" s="9" t="n"/>
      <c r="AI645" s="9" t="n"/>
      <c r="AJ645" s="9" t="n"/>
      <c r="AK645" s="9" t="n"/>
      <c r="AL645" s="9" t="n"/>
      <c r="AM645" s="10" t="n"/>
    </row>
    <row r="646" ht="12.75" customHeight="1" s="562">
      <c r="E646" s="55" t="n"/>
      <c r="N646" s="10" t="n"/>
      <c r="O646" s="6" t="n"/>
      <c r="T646" s="6" t="n"/>
      <c r="Z646" s="6" t="n"/>
      <c r="AB646" s="9" t="n"/>
      <c r="AC646" s="9" t="n"/>
      <c r="AD646" s="9" t="n"/>
      <c r="AE646" s="9" t="n"/>
      <c r="AF646" s="9" t="n"/>
      <c r="AG646" s="9" t="n"/>
      <c r="AH646" s="9" t="n"/>
      <c r="AI646" s="9" t="n"/>
      <c r="AJ646" s="9" t="n"/>
      <c r="AK646" s="9" t="n"/>
      <c r="AL646" s="9" t="n"/>
      <c r="AM646" s="10" t="n"/>
    </row>
    <row r="647" ht="12.75" customHeight="1" s="562">
      <c r="E647" s="55" t="n"/>
      <c r="N647" s="10" t="n"/>
      <c r="O647" s="6" t="n"/>
      <c r="T647" s="6" t="n"/>
      <c r="Z647" s="6" t="n"/>
      <c r="AB647" s="9" t="n"/>
      <c r="AC647" s="9" t="n"/>
      <c r="AD647" s="9" t="n"/>
      <c r="AE647" s="9" t="n"/>
      <c r="AF647" s="9" t="n"/>
      <c r="AG647" s="9" t="n"/>
      <c r="AH647" s="9" t="n"/>
      <c r="AI647" s="9" t="n"/>
      <c r="AJ647" s="9" t="n"/>
      <c r="AK647" s="9" t="n"/>
      <c r="AL647" s="9" t="n"/>
      <c r="AM647" s="10" t="n"/>
    </row>
    <row r="648" ht="12.75" customHeight="1" s="562">
      <c r="E648" s="55" t="n"/>
      <c r="N648" s="10" t="n"/>
      <c r="O648" s="6" t="n"/>
      <c r="T648" s="6" t="n"/>
      <c r="Z648" s="6" t="n"/>
      <c r="AB648" s="9" t="n"/>
      <c r="AC648" s="9" t="n"/>
      <c r="AD648" s="9" t="n"/>
      <c r="AE648" s="9" t="n"/>
      <c r="AF648" s="9" t="n"/>
      <c r="AG648" s="9" t="n"/>
      <c r="AH648" s="9" t="n"/>
      <c r="AI648" s="9" t="n"/>
      <c r="AJ648" s="9" t="n"/>
      <c r="AK648" s="9" t="n"/>
      <c r="AL648" s="9" t="n"/>
      <c r="AM648" s="10" t="n"/>
    </row>
    <row r="649" ht="12.75" customHeight="1" s="562">
      <c r="E649" s="55" t="n"/>
      <c r="N649" s="10" t="n"/>
      <c r="O649" s="6" t="n"/>
      <c r="T649" s="6" t="n"/>
      <c r="Z649" s="6" t="n"/>
      <c r="AB649" s="9" t="n"/>
      <c r="AC649" s="9" t="n"/>
      <c r="AD649" s="9" t="n"/>
      <c r="AE649" s="9" t="n"/>
      <c r="AF649" s="9" t="n"/>
      <c r="AG649" s="9" t="n"/>
      <c r="AH649" s="9" t="n"/>
      <c r="AI649" s="9" t="n"/>
      <c r="AJ649" s="9" t="n"/>
      <c r="AK649" s="9" t="n"/>
      <c r="AL649" s="9" t="n"/>
      <c r="AM649" s="10" t="n"/>
    </row>
    <row r="650" ht="12.75" customHeight="1" s="562">
      <c r="E650" s="55" t="n"/>
      <c r="N650" s="10" t="n"/>
      <c r="O650" s="6" t="n"/>
      <c r="T650" s="6" t="n"/>
      <c r="Z650" s="6" t="n"/>
      <c r="AB650" s="9" t="n"/>
      <c r="AC650" s="9" t="n"/>
      <c r="AD650" s="9" t="n"/>
      <c r="AE650" s="9" t="n"/>
      <c r="AF650" s="9" t="n"/>
      <c r="AG650" s="9" t="n"/>
      <c r="AH650" s="9" t="n"/>
      <c r="AI650" s="9" t="n"/>
      <c r="AJ650" s="9" t="n"/>
      <c r="AK650" s="9" t="n"/>
      <c r="AL650" s="9" t="n"/>
      <c r="AM650" s="10" t="n"/>
    </row>
    <row r="651" ht="12.75" customHeight="1" s="562">
      <c r="E651" s="55" t="n"/>
      <c r="N651" s="10" t="n"/>
      <c r="O651" s="6" t="n"/>
      <c r="T651" s="6" t="n"/>
      <c r="Z651" s="6" t="n"/>
      <c r="AB651" s="9" t="n"/>
      <c r="AC651" s="9" t="n"/>
      <c r="AD651" s="9" t="n"/>
      <c r="AE651" s="9" t="n"/>
      <c r="AF651" s="9" t="n"/>
      <c r="AG651" s="9" t="n"/>
      <c r="AH651" s="9" t="n"/>
      <c r="AI651" s="9" t="n"/>
      <c r="AJ651" s="9" t="n"/>
      <c r="AK651" s="9" t="n"/>
      <c r="AL651" s="9" t="n"/>
      <c r="AM651" s="10" t="n"/>
    </row>
    <row r="652" ht="12.75" customHeight="1" s="562">
      <c r="E652" s="55" t="n"/>
      <c r="N652" s="10" t="n"/>
      <c r="O652" s="6" t="n"/>
      <c r="T652" s="6" t="n"/>
      <c r="Z652" s="6" t="n"/>
      <c r="AB652" s="9" t="n"/>
      <c r="AC652" s="9" t="n"/>
      <c r="AD652" s="9" t="n"/>
      <c r="AE652" s="9" t="n"/>
      <c r="AF652" s="9" t="n"/>
      <c r="AG652" s="9" t="n"/>
      <c r="AH652" s="9" t="n"/>
      <c r="AI652" s="9" t="n"/>
      <c r="AJ652" s="9" t="n"/>
      <c r="AK652" s="9" t="n"/>
      <c r="AL652" s="9" t="n"/>
      <c r="AM652" s="10" t="n"/>
    </row>
    <row r="653" ht="12.75" customHeight="1" s="562">
      <c r="E653" s="55" t="n"/>
      <c r="N653" s="10" t="n"/>
      <c r="O653" s="6" t="n"/>
      <c r="T653" s="6" t="n"/>
      <c r="Z653" s="6" t="n"/>
      <c r="AB653" s="9" t="n"/>
      <c r="AC653" s="9" t="n"/>
      <c r="AD653" s="9" t="n"/>
      <c r="AE653" s="9" t="n"/>
      <c r="AF653" s="9" t="n"/>
      <c r="AG653" s="9" t="n"/>
      <c r="AH653" s="9" t="n"/>
      <c r="AI653" s="9" t="n"/>
      <c r="AJ653" s="9" t="n"/>
      <c r="AK653" s="9" t="n"/>
      <c r="AL653" s="9" t="n"/>
      <c r="AM653" s="10" t="n"/>
    </row>
    <row r="654" ht="12.75" customHeight="1" s="562">
      <c r="E654" s="55" t="n"/>
      <c r="N654" s="10" t="n"/>
      <c r="O654" s="6" t="n"/>
      <c r="T654" s="6" t="n"/>
      <c r="Z654" s="6" t="n"/>
      <c r="AB654" s="9" t="n"/>
      <c r="AC654" s="9" t="n"/>
      <c r="AD654" s="9" t="n"/>
      <c r="AE654" s="9" t="n"/>
      <c r="AF654" s="9" t="n"/>
      <c r="AG654" s="9" t="n"/>
      <c r="AH654" s="9" t="n"/>
      <c r="AI654" s="9" t="n"/>
      <c r="AJ654" s="9" t="n"/>
      <c r="AK654" s="9" t="n"/>
      <c r="AL654" s="9" t="n"/>
      <c r="AM654" s="10" t="n"/>
    </row>
    <row r="655" ht="12.75" customHeight="1" s="562">
      <c r="E655" s="55" t="n"/>
      <c r="N655" s="10" t="n"/>
      <c r="O655" s="6" t="n"/>
      <c r="T655" s="6" t="n"/>
      <c r="Z655" s="6" t="n"/>
      <c r="AB655" s="9" t="n"/>
      <c r="AC655" s="9" t="n"/>
      <c r="AD655" s="9" t="n"/>
      <c r="AE655" s="9" t="n"/>
      <c r="AF655" s="9" t="n"/>
      <c r="AG655" s="9" t="n"/>
      <c r="AH655" s="9" t="n"/>
      <c r="AI655" s="9" t="n"/>
      <c r="AJ655" s="9" t="n"/>
      <c r="AK655" s="9" t="n"/>
      <c r="AL655" s="9" t="n"/>
      <c r="AM655" s="10" t="n"/>
    </row>
    <row r="656" ht="12.75" customHeight="1" s="562">
      <c r="E656" s="55" t="n"/>
      <c r="N656" s="10" t="n"/>
      <c r="O656" s="6" t="n"/>
      <c r="T656" s="6" t="n"/>
      <c r="Z656" s="6" t="n"/>
      <c r="AB656" s="9" t="n"/>
      <c r="AC656" s="9" t="n"/>
      <c r="AD656" s="9" t="n"/>
      <c r="AE656" s="9" t="n"/>
      <c r="AF656" s="9" t="n"/>
      <c r="AG656" s="9" t="n"/>
      <c r="AH656" s="9" t="n"/>
      <c r="AI656" s="9" t="n"/>
      <c r="AJ656" s="9" t="n"/>
      <c r="AK656" s="9" t="n"/>
      <c r="AL656" s="9" t="n"/>
      <c r="AM656" s="10" t="n"/>
    </row>
    <row r="657" ht="12.75" customHeight="1" s="562">
      <c r="E657" s="55" t="n"/>
      <c r="N657" s="10" t="n"/>
      <c r="O657" s="6" t="n"/>
      <c r="T657" s="6" t="n"/>
      <c r="Z657" s="6" t="n"/>
      <c r="AB657" s="9" t="n"/>
      <c r="AC657" s="9" t="n"/>
      <c r="AD657" s="9" t="n"/>
      <c r="AE657" s="9" t="n"/>
      <c r="AF657" s="9" t="n"/>
      <c r="AG657" s="9" t="n"/>
      <c r="AH657" s="9" t="n"/>
      <c r="AI657" s="9" t="n"/>
      <c r="AJ657" s="9" t="n"/>
      <c r="AK657" s="9" t="n"/>
      <c r="AL657" s="9" t="n"/>
      <c r="AM657" s="10" t="n"/>
    </row>
    <row r="658" ht="12.75" customHeight="1" s="562">
      <c r="E658" s="55" t="n"/>
      <c r="N658" s="10" t="n"/>
      <c r="O658" s="6" t="n"/>
      <c r="T658" s="6" t="n"/>
      <c r="Z658" s="6" t="n"/>
      <c r="AB658" s="9" t="n"/>
      <c r="AC658" s="9" t="n"/>
      <c r="AD658" s="9" t="n"/>
      <c r="AE658" s="9" t="n"/>
      <c r="AF658" s="9" t="n"/>
      <c r="AG658" s="9" t="n"/>
      <c r="AH658" s="9" t="n"/>
      <c r="AI658" s="9" t="n"/>
      <c r="AJ658" s="9" t="n"/>
      <c r="AK658" s="9" t="n"/>
      <c r="AL658" s="9" t="n"/>
      <c r="AM658" s="10" t="n"/>
    </row>
    <row r="659" ht="12.75" customHeight="1" s="562">
      <c r="E659" s="55" t="n"/>
      <c r="N659" s="10" t="n"/>
      <c r="O659" s="6" t="n"/>
      <c r="T659" s="6" t="n"/>
      <c r="Z659" s="6" t="n"/>
      <c r="AB659" s="9" t="n"/>
      <c r="AC659" s="9" t="n"/>
      <c r="AD659" s="9" t="n"/>
      <c r="AE659" s="9" t="n"/>
      <c r="AF659" s="9" t="n"/>
      <c r="AG659" s="9" t="n"/>
      <c r="AH659" s="9" t="n"/>
      <c r="AI659" s="9" t="n"/>
      <c r="AJ659" s="9" t="n"/>
      <c r="AK659" s="9" t="n"/>
      <c r="AL659" s="9" t="n"/>
      <c r="AM659" s="10" t="n"/>
    </row>
    <row r="660" ht="12.75" customHeight="1" s="562">
      <c r="E660" s="55" t="n"/>
      <c r="N660" s="10" t="n"/>
      <c r="O660" s="6" t="n"/>
      <c r="T660" s="6" t="n"/>
      <c r="Z660" s="6" t="n"/>
      <c r="AB660" s="9" t="n"/>
      <c r="AC660" s="9" t="n"/>
      <c r="AD660" s="9" t="n"/>
      <c r="AE660" s="9" t="n"/>
      <c r="AF660" s="9" t="n"/>
      <c r="AG660" s="9" t="n"/>
      <c r="AH660" s="9" t="n"/>
      <c r="AI660" s="9" t="n"/>
      <c r="AJ660" s="9" t="n"/>
      <c r="AK660" s="9" t="n"/>
      <c r="AL660" s="9" t="n"/>
      <c r="AM660" s="10" t="n"/>
    </row>
    <row r="661" ht="12.75" customHeight="1" s="562">
      <c r="E661" s="55" t="n"/>
      <c r="N661" s="10" t="n"/>
      <c r="O661" s="6" t="n"/>
      <c r="T661" s="6" t="n"/>
      <c r="Z661" s="6" t="n"/>
      <c r="AB661" s="9" t="n"/>
      <c r="AC661" s="9" t="n"/>
      <c r="AD661" s="9" t="n"/>
      <c r="AE661" s="9" t="n"/>
      <c r="AF661" s="9" t="n"/>
      <c r="AG661" s="9" t="n"/>
      <c r="AH661" s="9" t="n"/>
      <c r="AI661" s="9" t="n"/>
      <c r="AJ661" s="9" t="n"/>
      <c r="AK661" s="9" t="n"/>
      <c r="AL661" s="9" t="n"/>
      <c r="AM661" s="10" t="n"/>
    </row>
    <row r="662" ht="12.75" customHeight="1" s="562">
      <c r="E662" s="55" t="n"/>
      <c r="N662" s="10" t="n"/>
      <c r="O662" s="6" t="n"/>
      <c r="T662" s="6" t="n"/>
      <c r="Z662" s="6" t="n"/>
      <c r="AB662" s="9" t="n"/>
      <c r="AC662" s="9" t="n"/>
      <c r="AD662" s="9" t="n"/>
      <c r="AE662" s="9" t="n"/>
      <c r="AF662" s="9" t="n"/>
      <c r="AG662" s="9" t="n"/>
      <c r="AH662" s="9" t="n"/>
      <c r="AI662" s="9" t="n"/>
      <c r="AJ662" s="9" t="n"/>
      <c r="AK662" s="9" t="n"/>
      <c r="AL662" s="9" t="n"/>
      <c r="AM662" s="10" t="n"/>
    </row>
    <row r="663" ht="12.75" customHeight="1" s="562">
      <c r="E663" s="55" t="n"/>
      <c r="N663" s="10" t="n"/>
      <c r="O663" s="6" t="n"/>
      <c r="T663" s="6" t="n"/>
      <c r="Z663" s="6" t="n"/>
      <c r="AB663" s="9" t="n"/>
      <c r="AC663" s="9" t="n"/>
      <c r="AD663" s="9" t="n"/>
      <c r="AE663" s="9" t="n"/>
      <c r="AF663" s="9" t="n"/>
      <c r="AG663" s="9" t="n"/>
      <c r="AH663" s="9" t="n"/>
      <c r="AI663" s="9" t="n"/>
      <c r="AJ663" s="9" t="n"/>
      <c r="AK663" s="9" t="n"/>
      <c r="AL663" s="9" t="n"/>
      <c r="AM663" s="10" t="n"/>
    </row>
    <row r="664" ht="12.75" customHeight="1" s="562">
      <c r="E664" s="55" t="n"/>
      <c r="N664" s="10" t="n"/>
      <c r="O664" s="6" t="n"/>
      <c r="T664" s="6" t="n"/>
      <c r="Z664" s="6" t="n"/>
      <c r="AB664" s="9" t="n"/>
      <c r="AC664" s="9" t="n"/>
      <c r="AD664" s="9" t="n"/>
      <c r="AE664" s="9" t="n"/>
      <c r="AF664" s="9" t="n"/>
      <c r="AG664" s="9" t="n"/>
      <c r="AH664" s="9" t="n"/>
      <c r="AI664" s="9" t="n"/>
      <c r="AJ664" s="9" t="n"/>
      <c r="AK664" s="9" t="n"/>
      <c r="AL664" s="9" t="n"/>
      <c r="AM664" s="10" t="n"/>
    </row>
    <row r="665" ht="12.75" customHeight="1" s="562">
      <c r="E665" s="55" t="n"/>
      <c r="N665" s="10" t="n"/>
      <c r="O665" s="6" t="n"/>
      <c r="T665" s="6" t="n"/>
      <c r="Z665" s="6" t="n"/>
      <c r="AB665" s="9" t="n"/>
      <c r="AC665" s="9" t="n"/>
      <c r="AD665" s="9" t="n"/>
      <c r="AE665" s="9" t="n"/>
      <c r="AF665" s="9" t="n"/>
      <c r="AG665" s="9" t="n"/>
      <c r="AH665" s="9" t="n"/>
      <c r="AI665" s="9" t="n"/>
      <c r="AJ665" s="9" t="n"/>
      <c r="AK665" s="9" t="n"/>
      <c r="AL665" s="9" t="n"/>
      <c r="AM665" s="10" t="n"/>
    </row>
    <row r="666" ht="12.75" customHeight="1" s="562">
      <c r="E666" s="55" t="n"/>
      <c r="N666" s="10" t="n"/>
      <c r="O666" s="6" t="n"/>
      <c r="T666" s="6" t="n"/>
      <c r="Z666" s="6" t="n"/>
      <c r="AB666" s="9" t="n"/>
      <c r="AC666" s="9" t="n"/>
      <c r="AD666" s="9" t="n"/>
      <c r="AE666" s="9" t="n"/>
      <c r="AF666" s="9" t="n"/>
      <c r="AG666" s="9" t="n"/>
      <c r="AH666" s="9" t="n"/>
      <c r="AI666" s="9" t="n"/>
      <c r="AJ666" s="9" t="n"/>
      <c r="AK666" s="9" t="n"/>
      <c r="AL666" s="9" t="n"/>
      <c r="AM666" s="10" t="n"/>
    </row>
    <row r="667" ht="12.75" customHeight="1" s="562">
      <c r="E667" s="55" t="n"/>
      <c r="N667" s="10" t="n"/>
      <c r="O667" s="6" t="n"/>
      <c r="T667" s="6" t="n"/>
      <c r="Z667" s="6" t="n"/>
      <c r="AB667" s="9" t="n"/>
      <c r="AC667" s="9" t="n"/>
      <c r="AD667" s="9" t="n"/>
      <c r="AE667" s="9" t="n"/>
      <c r="AF667" s="9" t="n"/>
      <c r="AG667" s="9" t="n"/>
      <c r="AH667" s="9" t="n"/>
      <c r="AI667" s="9" t="n"/>
      <c r="AJ667" s="9" t="n"/>
      <c r="AK667" s="9" t="n"/>
      <c r="AL667" s="9" t="n"/>
      <c r="AM667" s="10" t="n"/>
    </row>
    <row r="668" ht="12.75" customHeight="1" s="562">
      <c r="E668" s="55" t="n"/>
      <c r="N668" s="10" t="n"/>
      <c r="O668" s="6" t="n"/>
      <c r="T668" s="6" t="n"/>
      <c r="Z668" s="6" t="n"/>
      <c r="AB668" s="9" t="n"/>
      <c r="AC668" s="9" t="n"/>
      <c r="AD668" s="9" t="n"/>
      <c r="AE668" s="9" t="n"/>
      <c r="AF668" s="9" t="n"/>
      <c r="AG668" s="9" t="n"/>
      <c r="AH668" s="9" t="n"/>
      <c r="AI668" s="9" t="n"/>
      <c r="AJ668" s="9" t="n"/>
      <c r="AK668" s="9" t="n"/>
      <c r="AL668" s="9" t="n"/>
      <c r="AM668" s="10" t="n"/>
    </row>
    <row r="669" ht="12.75" customHeight="1" s="562">
      <c r="E669" s="55" t="n"/>
      <c r="N669" s="10" t="n"/>
      <c r="O669" s="6" t="n"/>
      <c r="T669" s="6" t="n"/>
      <c r="Z669" s="6" t="n"/>
      <c r="AB669" s="9" t="n"/>
      <c r="AC669" s="9" t="n"/>
      <c r="AD669" s="9" t="n"/>
      <c r="AE669" s="9" t="n"/>
      <c r="AF669" s="9" t="n"/>
      <c r="AG669" s="9" t="n"/>
      <c r="AH669" s="9" t="n"/>
      <c r="AI669" s="9" t="n"/>
      <c r="AJ669" s="9" t="n"/>
      <c r="AK669" s="9" t="n"/>
      <c r="AL669" s="9" t="n"/>
      <c r="AM669" s="10" t="n"/>
    </row>
    <row r="670" ht="12.75" customHeight="1" s="562">
      <c r="E670" s="55" t="n"/>
      <c r="N670" s="10" t="n"/>
      <c r="O670" s="6" t="n"/>
      <c r="T670" s="6" t="n"/>
      <c r="Z670" s="6" t="n"/>
      <c r="AB670" s="9" t="n"/>
      <c r="AC670" s="9" t="n"/>
      <c r="AD670" s="9" t="n"/>
      <c r="AE670" s="9" t="n"/>
      <c r="AF670" s="9" t="n"/>
      <c r="AG670" s="9" t="n"/>
      <c r="AH670" s="9" t="n"/>
      <c r="AI670" s="9" t="n"/>
      <c r="AJ670" s="9" t="n"/>
      <c r="AK670" s="9" t="n"/>
      <c r="AL670" s="9" t="n"/>
      <c r="AM670" s="10" t="n"/>
    </row>
    <row r="671" ht="12.75" customHeight="1" s="562">
      <c r="E671" s="55" t="n"/>
      <c r="N671" s="10" t="n"/>
      <c r="O671" s="6" t="n"/>
      <c r="T671" s="6" t="n"/>
      <c r="Z671" s="6" t="n"/>
      <c r="AB671" s="9" t="n"/>
      <c r="AC671" s="9" t="n"/>
      <c r="AD671" s="9" t="n"/>
      <c r="AE671" s="9" t="n"/>
      <c r="AF671" s="9" t="n"/>
      <c r="AG671" s="9" t="n"/>
      <c r="AH671" s="9" t="n"/>
      <c r="AI671" s="9" t="n"/>
      <c r="AJ671" s="9" t="n"/>
      <c r="AK671" s="9" t="n"/>
      <c r="AL671" s="9" t="n"/>
      <c r="AM671" s="10" t="n"/>
    </row>
    <row r="672" ht="12.75" customHeight="1" s="562">
      <c r="E672" s="55" t="n"/>
      <c r="N672" s="10" t="n"/>
      <c r="O672" s="6" t="n"/>
      <c r="T672" s="6" t="n"/>
      <c r="Z672" s="6" t="n"/>
      <c r="AB672" s="9" t="n"/>
      <c r="AC672" s="9" t="n"/>
      <c r="AD672" s="9" t="n"/>
      <c r="AE672" s="9" t="n"/>
      <c r="AF672" s="9" t="n"/>
      <c r="AG672" s="9" t="n"/>
      <c r="AH672" s="9" t="n"/>
      <c r="AI672" s="9" t="n"/>
      <c r="AJ672" s="9" t="n"/>
      <c r="AK672" s="9" t="n"/>
      <c r="AL672" s="9" t="n"/>
      <c r="AM672" s="10" t="n"/>
    </row>
    <row r="673" ht="12.75" customHeight="1" s="562">
      <c r="E673" s="55" t="n"/>
      <c r="N673" s="10" t="n"/>
      <c r="O673" s="6" t="n"/>
      <c r="T673" s="6" t="n"/>
      <c r="Z673" s="6" t="n"/>
      <c r="AB673" s="9" t="n"/>
      <c r="AC673" s="9" t="n"/>
      <c r="AD673" s="9" t="n"/>
      <c r="AE673" s="9" t="n"/>
      <c r="AF673" s="9" t="n"/>
      <c r="AG673" s="9" t="n"/>
      <c r="AH673" s="9" t="n"/>
      <c r="AI673" s="9" t="n"/>
      <c r="AJ673" s="9" t="n"/>
      <c r="AK673" s="9" t="n"/>
      <c r="AL673" s="9" t="n"/>
      <c r="AM673" s="10" t="n"/>
    </row>
    <row r="674" ht="12.75" customHeight="1" s="562">
      <c r="E674" s="55" t="n"/>
      <c r="N674" s="10" t="n"/>
      <c r="O674" s="6" t="n"/>
      <c r="T674" s="6" t="n"/>
      <c r="Z674" s="6" t="n"/>
      <c r="AB674" s="9" t="n"/>
      <c r="AC674" s="9" t="n"/>
      <c r="AD674" s="9" t="n"/>
      <c r="AE674" s="9" t="n"/>
      <c r="AF674" s="9" t="n"/>
      <c r="AG674" s="9" t="n"/>
      <c r="AH674" s="9" t="n"/>
      <c r="AI674" s="9" t="n"/>
      <c r="AJ674" s="9" t="n"/>
      <c r="AK674" s="9" t="n"/>
      <c r="AL674" s="9" t="n"/>
      <c r="AM674" s="10" t="n"/>
    </row>
    <row r="675" ht="12.75" customHeight="1" s="562">
      <c r="E675" s="55" t="n"/>
      <c r="N675" s="10" t="n"/>
      <c r="O675" s="6" t="n"/>
      <c r="T675" s="6" t="n"/>
      <c r="Z675" s="6" t="n"/>
      <c r="AB675" s="9" t="n"/>
      <c r="AC675" s="9" t="n"/>
      <c r="AD675" s="9" t="n"/>
      <c r="AE675" s="9" t="n"/>
      <c r="AF675" s="9" t="n"/>
      <c r="AG675" s="9" t="n"/>
      <c r="AH675" s="9" t="n"/>
      <c r="AI675" s="9" t="n"/>
      <c r="AJ675" s="9" t="n"/>
      <c r="AK675" s="9" t="n"/>
      <c r="AL675" s="9" t="n"/>
      <c r="AM675" s="10" t="n"/>
    </row>
    <row r="676" ht="12.75" customHeight="1" s="562">
      <c r="E676" s="55" t="n"/>
      <c r="N676" s="10" t="n"/>
      <c r="O676" s="6" t="n"/>
      <c r="T676" s="6" t="n"/>
      <c r="Z676" s="6" t="n"/>
      <c r="AB676" s="9" t="n"/>
      <c r="AC676" s="9" t="n"/>
      <c r="AD676" s="9" t="n"/>
      <c r="AE676" s="9" t="n"/>
      <c r="AF676" s="9" t="n"/>
      <c r="AG676" s="9" t="n"/>
      <c r="AH676" s="9" t="n"/>
      <c r="AI676" s="9" t="n"/>
      <c r="AJ676" s="9" t="n"/>
      <c r="AK676" s="9" t="n"/>
      <c r="AL676" s="9" t="n"/>
      <c r="AM676" s="10" t="n"/>
    </row>
    <row r="677" ht="12.75" customHeight="1" s="562">
      <c r="E677" s="55" t="n"/>
      <c r="N677" s="10" t="n"/>
      <c r="O677" s="6" t="n"/>
      <c r="T677" s="6" t="n"/>
      <c r="Z677" s="6" t="n"/>
      <c r="AB677" s="9" t="n"/>
      <c r="AC677" s="9" t="n"/>
      <c r="AD677" s="9" t="n"/>
      <c r="AE677" s="9" t="n"/>
      <c r="AF677" s="9" t="n"/>
      <c r="AG677" s="9" t="n"/>
      <c r="AH677" s="9" t="n"/>
      <c r="AI677" s="9" t="n"/>
      <c r="AJ677" s="9" t="n"/>
      <c r="AK677" s="9" t="n"/>
      <c r="AL677" s="9" t="n"/>
      <c r="AM677" s="10" t="n"/>
    </row>
    <row r="678" ht="12.75" customHeight="1" s="562">
      <c r="E678" s="55" t="n"/>
      <c r="N678" s="10" t="n"/>
      <c r="O678" s="6" t="n"/>
      <c r="T678" s="6" t="n"/>
      <c r="Z678" s="6" t="n"/>
      <c r="AB678" s="9" t="n"/>
      <c r="AC678" s="9" t="n"/>
      <c r="AD678" s="9" t="n"/>
      <c r="AE678" s="9" t="n"/>
      <c r="AF678" s="9" t="n"/>
      <c r="AG678" s="9" t="n"/>
      <c r="AH678" s="9" t="n"/>
      <c r="AI678" s="9" t="n"/>
      <c r="AJ678" s="9" t="n"/>
      <c r="AK678" s="9" t="n"/>
      <c r="AL678" s="9" t="n"/>
      <c r="AM678" s="10" t="n"/>
    </row>
    <row r="679" ht="12.75" customHeight="1" s="562">
      <c r="E679" s="55" t="n"/>
      <c r="N679" s="10" t="n"/>
      <c r="O679" s="6" t="n"/>
      <c r="T679" s="6" t="n"/>
      <c r="Z679" s="6" t="n"/>
      <c r="AB679" s="9" t="n"/>
      <c r="AC679" s="9" t="n"/>
      <c r="AD679" s="9" t="n"/>
      <c r="AE679" s="9" t="n"/>
      <c r="AF679" s="9" t="n"/>
      <c r="AG679" s="9" t="n"/>
      <c r="AH679" s="9" t="n"/>
      <c r="AI679" s="9" t="n"/>
      <c r="AJ679" s="9" t="n"/>
      <c r="AK679" s="9" t="n"/>
      <c r="AL679" s="9" t="n"/>
      <c r="AM679" s="10" t="n"/>
    </row>
    <row r="680" ht="12.75" customHeight="1" s="562">
      <c r="E680" s="55" t="n"/>
      <c r="N680" s="10" t="n"/>
      <c r="O680" s="6" t="n"/>
      <c r="T680" s="6" t="n"/>
      <c r="Z680" s="6" t="n"/>
      <c r="AB680" s="9" t="n"/>
      <c r="AC680" s="9" t="n"/>
      <c r="AD680" s="9" t="n"/>
      <c r="AE680" s="9" t="n"/>
      <c r="AF680" s="9" t="n"/>
      <c r="AG680" s="9" t="n"/>
      <c r="AH680" s="9" t="n"/>
      <c r="AI680" s="9" t="n"/>
      <c r="AJ680" s="9" t="n"/>
      <c r="AK680" s="9" t="n"/>
      <c r="AL680" s="9" t="n"/>
      <c r="AM680" s="10" t="n"/>
    </row>
    <row r="681" ht="12.75" customHeight="1" s="562">
      <c r="E681" s="55" t="n"/>
      <c r="N681" s="10" t="n"/>
      <c r="O681" s="6" t="n"/>
      <c r="T681" s="6" t="n"/>
      <c r="Z681" s="6" t="n"/>
      <c r="AB681" s="9" t="n"/>
      <c r="AC681" s="9" t="n"/>
      <c r="AD681" s="9" t="n"/>
      <c r="AE681" s="9" t="n"/>
      <c r="AF681" s="9" t="n"/>
      <c r="AG681" s="9" t="n"/>
      <c r="AH681" s="9" t="n"/>
      <c r="AI681" s="9" t="n"/>
      <c r="AJ681" s="9" t="n"/>
      <c r="AK681" s="9" t="n"/>
      <c r="AL681" s="9" t="n"/>
      <c r="AM681" s="10" t="n"/>
    </row>
    <row r="682" ht="12.75" customHeight="1" s="562">
      <c r="E682" s="55" t="n"/>
      <c r="N682" s="10" t="n"/>
      <c r="O682" s="6" t="n"/>
      <c r="T682" s="6" t="n"/>
      <c r="Z682" s="6" t="n"/>
      <c r="AB682" s="9" t="n"/>
      <c r="AC682" s="9" t="n"/>
      <c r="AD682" s="9" t="n"/>
      <c r="AE682" s="9" t="n"/>
      <c r="AF682" s="9" t="n"/>
      <c r="AG682" s="9" t="n"/>
      <c r="AH682" s="9" t="n"/>
      <c r="AI682" s="9" t="n"/>
      <c r="AJ682" s="9" t="n"/>
      <c r="AK682" s="9" t="n"/>
      <c r="AL682" s="9" t="n"/>
      <c r="AM682" s="10" t="n"/>
    </row>
    <row r="683" ht="12.75" customHeight="1" s="562">
      <c r="E683" s="55" t="n"/>
      <c r="N683" s="10" t="n"/>
      <c r="O683" s="6" t="n"/>
      <c r="T683" s="6" t="n"/>
      <c r="Z683" s="6" t="n"/>
      <c r="AB683" s="9" t="n"/>
      <c r="AC683" s="9" t="n"/>
      <c r="AD683" s="9" t="n"/>
      <c r="AE683" s="9" t="n"/>
      <c r="AF683" s="9" t="n"/>
      <c r="AG683" s="9" t="n"/>
      <c r="AH683" s="9" t="n"/>
      <c r="AI683" s="9" t="n"/>
      <c r="AJ683" s="9" t="n"/>
      <c r="AK683" s="9" t="n"/>
      <c r="AL683" s="9" t="n"/>
      <c r="AM683" s="10" t="n"/>
    </row>
    <row r="684" ht="12.75" customHeight="1" s="562">
      <c r="E684" s="55" t="n"/>
      <c r="N684" s="10" t="n"/>
      <c r="O684" s="6" t="n"/>
      <c r="T684" s="6" t="n"/>
      <c r="Z684" s="6" t="n"/>
      <c r="AB684" s="9" t="n"/>
      <c r="AC684" s="9" t="n"/>
      <c r="AD684" s="9" t="n"/>
      <c r="AE684" s="9" t="n"/>
      <c r="AF684" s="9" t="n"/>
      <c r="AG684" s="9" t="n"/>
      <c r="AH684" s="9" t="n"/>
      <c r="AI684" s="9" t="n"/>
      <c r="AJ684" s="9" t="n"/>
      <c r="AK684" s="9" t="n"/>
      <c r="AL684" s="9" t="n"/>
      <c r="AM684" s="10" t="n"/>
    </row>
    <row r="685" ht="12.75" customHeight="1" s="562">
      <c r="E685" s="55" t="n"/>
      <c r="N685" s="10" t="n"/>
      <c r="O685" s="6" t="n"/>
      <c r="T685" s="6" t="n"/>
      <c r="Z685" s="6" t="n"/>
      <c r="AB685" s="9" t="n"/>
      <c r="AC685" s="9" t="n"/>
      <c r="AD685" s="9" t="n"/>
      <c r="AE685" s="9" t="n"/>
      <c r="AF685" s="9" t="n"/>
      <c r="AG685" s="9" t="n"/>
      <c r="AH685" s="9" t="n"/>
      <c r="AI685" s="9" t="n"/>
      <c r="AJ685" s="9" t="n"/>
      <c r="AK685" s="9" t="n"/>
      <c r="AL685" s="9" t="n"/>
      <c r="AM685" s="10" t="n"/>
    </row>
    <row r="686" ht="12.75" customHeight="1" s="562">
      <c r="E686" s="55" t="n"/>
      <c r="N686" s="10" t="n"/>
      <c r="O686" s="6" t="n"/>
      <c r="T686" s="6" t="n"/>
      <c r="Z686" s="6" t="n"/>
      <c r="AB686" s="9" t="n"/>
      <c r="AC686" s="9" t="n"/>
      <c r="AD686" s="9" t="n"/>
      <c r="AE686" s="9" t="n"/>
      <c r="AF686" s="9" t="n"/>
      <c r="AG686" s="9" t="n"/>
      <c r="AH686" s="9" t="n"/>
      <c r="AI686" s="9" t="n"/>
      <c r="AJ686" s="9" t="n"/>
      <c r="AK686" s="9" t="n"/>
      <c r="AL686" s="9" t="n"/>
      <c r="AM686" s="10" t="n"/>
    </row>
    <row r="687" ht="12.75" customHeight="1" s="562">
      <c r="E687" s="55" t="n"/>
      <c r="N687" s="10" t="n"/>
      <c r="O687" s="6" t="n"/>
      <c r="T687" s="6" t="n"/>
      <c r="Z687" s="6" t="n"/>
      <c r="AB687" s="9" t="n"/>
      <c r="AC687" s="9" t="n"/>
      <c r="AD687" s="9" t="n"/>
      <c r="AE687" s="9" t="n"/>
      <c r="AF687" s="9" t="n"/>
      <c r="AG687" s="9" t="n"/>
      <c r="AH687" s="9" t="n"/>
      <c r="AI687" s="9" t="n"/>
      <c r="AJ687" s="9" t="n"/>
      <c r="AK687" s="9" t="n"/>
      <c r="AL687" s="9" t="n"/>
      <c r="AM687" s="10" t="n"/>
    </row>
    <row r="688" ht="12.75" customHeight="1" s="562">
      <c r="E688" s="55" t="n"/>
      <c r="N688" s="10" t="n"/>
      <c r="O688" s="6" t="n"/>
      <c r="T688" s="6" t="n"/>
      <c r="Z688" s="6" t="n"/>
      <c r="AB688" s="9" t="n"/>
      <c r="AC688" s="9" t="n"/>
      <c r="AD688" s="9" t="n"/>
      <c r="AE688" s="9" t="n"/>
      <c r="AF688" s="9" t="n"/>
      <c r="AG688" s="9" t="n"/>
      <c r="AH688" s="9" t="n"/>
      <c r="AI688" s="9" t="n"/>
      <c r="AJ688" s="9" t="n"/>
      <c r="AK688" s="9" t="n"/>
      <c r="AL688" s="9" t="n"/>
      <c r="AM688" s="10" t="n"/>
    </row>
    <row r="689" ht="12.75" customHeight="1" s="562">
      <c r="E689" s="55" t="n"/>
      <c r="N689" s="10" t="n"/>
      <c r="O689" s="6" t="n"/>
      <c r="T689" s="6" t="n"/>
      <c r="Z689" s="6" t="n"/>
      <c r="AB689" s="9" t="n"/>
      <c r="AC689" s="9" t="n"/>
      <c r="AD689" s="9" t="n"/>
      <c r="AE689" s="9" t="n"/>
      <c r="AF689" s="9" t="n"/>
      <c r="AG689" s="9" t="n"/>
      <c r="AH689" s="9" t="n"/>
      <c r="AI689" s="9" t="n"/>
      <c r="AJ689" s="9" t="n"/>
      <c r="AK689" s="9" t="n"/>
      <c r="AL689" s="9" t="n"/>
      <c r="AM689" s="10" t="n"/>
    </row>
    <row r="690" ht="12.75" customHeight="1" s="562">
      <c r="E690" s="55" t="n"/>
      <c r="N690" s="10" t="n"/>
      <c r="O690" s="6" t="n"/>
      <c r="T690" s="6" t="n"/>
      <c r="Z690" s="6" t="n"/>
      <c r="AB690" s="9" t="n"/>
      <c r="AC690" s="9" t="n"/>
      <c r="AD690" s="9" t="n"/>
      <c r="AE690" s="9" t="n"/>
      <c r="AF690" s="9" t="n"/>
      <c r="AG690" s="9" t="n"/>
      <c r="AH690" s="9" t="n"/>
      <c r="AI690" s="9" t="n"/>
      <c r="AJ690" s="9" t="n"/>
      <c r="AK690" s="9" t="n"/>
      <c r="AL690" s="9" t="n"/>
      <c r="AM690" s="10" t="n"/>
    </row>
    <row r="691" ht="12.75" customHeight="1" s="562">
      <c r="E691" s="55" t="n"/>
      <c r="N691" s="10" t="n"/>
      <c r="O691" s="6" t="n"/>
      <c r="T691" s="6" t="n"/>
      <c r="Z691" s="6" t="n"/>
      <c r="AB691" s="9" t="n"/>
      <c r="AC691" s="9" t="n"/>
      <c r="AD691" s="9" t="n"/>
      <c r="AE691" s="9" t="n"/>
      <c r="AF691" s="9" t="n"/>
      <c r="AG691" s="9" t="n"/>
      <c r="AH691" s="9" t="n"/>
      <c r="AI691" s="9" t="n"/>
      <c r="AJ691" s="9" t="n"/>
      <c r="AK691" s="9" t="n"/>
      <c r="AL691" s="9" t="n"/>
      <c r="AM691" s="10" t="n"/>
    </row>
    <row r="692" ht="12.75" customHeight="1" s="562">
      <c r="E692" s="55" t="n"/>
      <c r="N692" s="10" t="n"/>
      <c r="O692" s="6" t="n"/>
      <c r="T692" s="6" t="n"/>
      <c r="Z692" s="6" t="n"/>
      <c r="AB692" s="9" t="n"/>
      <c r="AC692" s="9" t="n"/>
      <c r="AD692" s="9" t="n"/>
      <c r="AE692" s="9" t="n"/>
      <c r="AF692" s="9" t="n"/>
      <c r="AG692" s="9" t="n"/>
      <c r="AH692" s="9" t="n"/>
      <c r="AI692" s="9" t="n"/>
      <c r="AJ692" s="9" t="n"/>
      <c r="AK692" s="9" t="n"/>
      <c r="AL692" s="9" t="n"/>
      <c r="AM692" s="10" t="n"/>
    </row>
    <row r="693" ht="12.75" customHeight="1" s="562">
      <c r="E693" s="55" t="n"/>
      <c r="N693" s="10" t="n"/>
      <c r="O693" s="6" t="n"/>
      <c r="T693" s="6" t="n"/>
      <c r="Z693" s="6" t="n"/>
      <c r="AB693" s="9" t="n"/>
      <c r="AC693" s="9" t="n"/>
      <c r="AD693" s="9" t="n"/>
      <c r="AE693" s="9" t="n"/>
      <c r="AF693" s="9" t="n"/>
      <c r="AG693" s="9" t="n"/>
      <c r="AH693" s="9" t="n"/>
      <c r="AI693" s="9" t="n"/>
      <c r="AJ693" s="9" t="n"/>
      <c r="AK693" s="9" t="n"/>
      <c r="AL693" s="9" t="n"/>
      <c r="AM693" s="10" t="n"/>
    </row>
    <row r="694" ht="12.75" customHeight="1" s="562">
      <c r="E694" s="55" t="n"/>
      <c r="N694" s="10" t="n"/>
      <c r="O694" s="6" t="n"/>
      <c r="T694" s="6" t="n"/>
      <c r="Z694" s="6" t="n"/>
      <c r="AB694" s="9" t="n"/>
      <c r="AC694" s="9" t="n"/>
      <c r="AD694" s="9" t="n"/>
      <c r="AE694" s="9" t="n"/>
      <c r="AF694" s="9" t="n"/>
      <c r="AG694" s="9" t="n"/>
      <c r="AH694" s="9" t="n"/>
      <c r="AI694" s="9" t="n"/>
      <c r="AJ694" s="9" t="n"/>
      <c r="AK694" s="9" t="n"/>
      <c r="AL694" s="9" t="n"/>
      <c r="AM694" s="10" t="n"/>
    </row>
    <row r="695" ht="12.75" customHeight="1" s="562">
      <c r="E695" s="55" t="n"/>
      <c r="N695" s="10" t="n"/>
      <c r="O695" s="6" t="n"/>
      <c r="T695" s="6" t="n"/>
      <c r="Z695" s="6" t="n"/>
      <c r="AB695" s="9" t="n"/>
      <c r="AC695" s="9" t="n"/>
      <c r="AD695" s="9" t="n"/>
      <c r="AE695" s="9" t="n"/>
      <c r="AF695" s="9" t="n"/>
      <c r="AG695" s="9" t="n"/>
      <c r="AH695" s="9" t="n"/>
      <c r="AI695" s="9" t="n"/>
      <c r="AJ695" s="9" t="n"/>
      <c r="AK695" s="9" t="n"/>
      <c r="AL695" s="9" t="n"/>
      <c r="AM695" s="10" t="n"/>
    </row>
    <row r="696" ht="12.75" customHeight="1" s="562">
      <c r="E696" s="55" t="n"/>
      <c r="N696" s="10" t="n"/>
      <c r="O696" s="6" t="n"/>
      <c r="T696" s="6" t="n"/>
      <c r="Z696" s="6" t="n"/>
      <c r="AB696" s="9" t="n"/>
      <c r="AC696" s="9" t="n"/>
      <c r="AD696" s="9" t="n"/>
      <c r="AE696" s="9" t="n"/>
      <c r="AF696" s="9" t="n"/>
      <c r="AG696" s="9" t="n"/>
      <c r="AH696" s="9" t="n"/>
      <c r="AI696" s="9" t="n"/>
      <c r="AJ696" s="9" t="n"/>
      <c r="AK696" s="9" t="n"/>
      <c r="AL696" s="9" t="n"/>
      <c r="AM696" s="10" t="n"/>
    </row>
    <row r="697" ht="12.75" customHeight="1" s="562">
      <c r="E697" s="55" t="n"/>
      <c r="N697" s="10" t="n"/>
      <c r="O697" s="6" t="n"/>
      <c r="T697" s="6" t="n"/>
      <c r="Z697" s="6" t="n"/>
      <c r="AB697" s="9" t="n"/>
      <c r="AC697" s="9" t="n"/>
      <c r="AD697" s="9" t="n"/>
      <c r="AE697" s="9" t="n"/>
      <c r="AF697" s="9" t="n"/>
      <c r="AG697" s="9" t="n"/>
      <c r="AH697" s="9" t="n"/>
      <c r="AI697" s="9" t="n"/>
      <c r="AJ697" s="9" t="n"/>
      <c r="AK697" s="9" t="n"/>
      <c r="AL697" s="9" t="n"/>
      <c r="AM697" s="10" t="n"/>
    </row>
    <row r="698" ht="12.75" customHeight="1" s="562">
      <c r="E698" s="55" t="n"/>
      <c r="N698" s="10" t="n"/>
      <c r="O698" s="6" t="n"/>
      <c r="T698" s="6" t="n"/>
      <c r="Z698" s="6" t="n"/>
      <c r="AB698" s="9" t="n"/>
      <c r="AC698" s="9" t="n"/>
      <c r="AD698" s="9" t="n"/>
      <c r="AE698" s="9" t="n"/>
      <c r="AF698" s="9" t="n"/>
      <c r="AG698" s="9" t="n"/>
      <c r="AH698" s="9" t="n"/>
      <c r="AI698" s="9" t="n"/>
      <c r="AJ698" s="9" t="n"/>
      <c r="AK698" s="9" t="n"/>
      <c r="AL698" s="9" t="n"/>
      <c r="AM698" s="10" t="n"/>
    </row>
    <row r="699" ht="12.75" customHeight="1" s="562">
      <c r="E699" s="55" t="n"/>
      <c r="N699" s="10" t="n"/>
      <c r="O699" s="6" t="n"/>
      <c r="T699" s="6" t="n"/>
      <c r="Z699" s="6" t="n"/>
      <c r="AB699" s="9" t="n"/>
      <c r="AC699" s="9" t="n"/>
      <c r="AD699" s="9" t="n"/>
      <c r="AE699" s="9" t="n"/>
      <c r="AF699" s="9" t="n"/>
      <c r="AG699" s="9" t="n"/>
      <c r="AH699" s="9" t="n"/>
      <c r="AI699" s="9" t="n"/>
      <c r="AJ699" s="9" t="n"/>
      <c r="AK699" s="9" t="n"/>
      <c r="AL699" s="9" t="n"/>
      <c r="AM699" s="10" t="n"/>
    </row>
    <row r="700" ht="12.75" customHeight="1" s="562">
      <c r="E700" s="55" t="n"/>
      <c r="N700" s="10" t="n"/>
      <c r="O700" s="6" t="n"/>
      <c r="T700" s="6" t="n"/>
      <c r="Z700" s="6" t="n"/>
      <c r="AB700" s="9" t="n"/>
      <c r="AC700" s="9" t="n"/>
      <c r="AD700" s="9" t="n"/>
      <c r="AE700" s="9" t="n"/>
      <c r="AF700" s="9" t="n"/>
      <c r="AG700" s="9" t="n"/>
      <c r="AH700" s="9" t="n"/>
      <c r="AI700" s="9" t="n"/>
      <c r="AJ700" s="9" t="n"/>
      <c r="AK700" s="9" t="n"/>
      <c r="AL700" s="9" t="n"/>
      <c r="AM700" s="10" t="n"/>
    </row>
    <row r="701" ht="12.75" customHeight="1" s="562">
      <c r="E701" s="55" t="n"/>
      <c r="N701" s="10" t="n"/>
      <c r="O701" s="6" t="n"/>
      <c r="T701" s="6" t="n"/>
      <c r="Z701" s="6" t="n"/>
      <c r="AB701" s="9" t="n"/>
      <c r="AC701" s="9" t="n"/>
      <c r="AD701" s="9" t="n"/>
      <c r="AE701" s="9" t="n"/>
      <c r="AF701" s="9" t="n"/>
      <c r="AG701" s="9" t="n"/>
      <c r="AH701" s="9" t="n"/>
      <c r="AI701" s="9" t="n"/>
      <c r="AJ701" s="9" t="n"/>
      <c r="AK701" s="9" t="n"/>
      <c r="AL701" s="9" t="n"/>
      <c r="AM701" s="10" t="n"/>
    </row>
    <row r="702" ht="12.75" customHeight="1" s="562">
      <c r="E702" s="55" t="n"/>
      <c r="N702" s="10" t="n"/>
      <c r="O702" s="6" t="n"/>
      <c r="T702" s="6" t="n"/>
      <c r="Z702" s="6" t="n"/>
      <c r="AB702" s="9" t="n"/>
      <c r="AC702" s="9" t="n"/>
      <c r="AD702" s="9" t="n"/>
      <c r="AE702" s="9" t="n"/>
      <c r="AF702" s="9" t="n"/>
      <c r="AG702" s="9" t="n"/>
      <c r="AH702" s="9" t="n"/>
      <c r="AI702" s="9" t="n"/>
      <c r="AJ702" s="9" t="n"/>
      <c r="AK702" s="9" t="n"/>
      <c r="AL702" s="9" t="n"/>
      <c r="AM702" s="10" t="n"/>
    </row>
    <row r="703" ht="12.75" customHeight="1" s="562">
      <c r="E703" s="55" t="n"/>
      <c r="N703" s="10" t="n"/>
      <c r="O703" s="6" t="n"/>
      <c r="T703" s="6" t="n"/>
      <c r="Z703" s="6" t="n"/>
      <c r="AB703" s="9" t="n"/>
      <c r="AC703" s="9" t="n"/>
      <c r="AD703" s="9" t="n"/>
      <c r="AE703" s="9" t="n"/>
      <c r="AF703" s="9" t="n"/>
      <c r="AG703" s="9" t="n"/>
      <c r="AH703" s="9" t="n"/>
      <c r="AI703" s="9" t="n"/>
      <c r="AJ703" s="9" t="n"/>
      <c r="AK703" s="9" t="n"/>
      <c r="AL703" s="9" t="n"/>
      <c r="AM703" s="10" t="n"/>
    </row>
    <row r="704" ht="12.75" customHeight="1" s="562">
      <c r="E704" s="55" t="n"/>
      <c r="N704" s="10" t="n"/>
      <c r="O704" s="6" t="n"/>
      <c r="T704" s="6" t="n"/>
      <c r="Z704" s="6" t="n"/>
      <c r="AB704" s="9" t="n"/>
      <c r="AC704" s="9" t="n"/>
      <c r="AD704" s="9" t="n"/>
      <c r="AE704" s="9" t="n"/>
      <c r="AF704" s="9" t="n"/>
      <c r="AG704" s="9" t="n"/>
      <c r="AH704" s="9" t="n"/>
      <c r="AI704" s="9" t="n"/>
      <c r="AJ704" s="9" t="n"/>
      <c r="AK704" s="9" t="n"/>
      <c r="AL704" s="9" t="n"/>
      <c r="AM704" s="10" t="n"/>
    </row>
    <row r="705" ht="12.75" customHeight="1" s="562">
      <c r="E705" s="55" t="n"/>
      <c r="N705" s="10" t="n"/>
      <c r="O705" s="6" t="n"/>
      <c r="T705" s="6" t="n"/>
      <c r="Z705" s="6" t="n"/>
      <c r="AB705" s="9" t="n"/>
      <c r="AC705" s="9" t="n"/>
      <c r="AD705" s="9" t="n"/>
      <c r="AE705" s="9" t="n"/>
      <c r="AF705" s="9" t="n"/>
      <c r="AG705" s="9" t="n"/>
      <c r="AH705" s="9" t="n"/>
      <c r="AI705" s="9" t="n"/>
      <c r="AJ705" s="9" t="n"/>
      <c r="AK705" s="9" t="n"/>
      <c r="AL705" s="9" t="n"/>
      <c r="AM705" s="10" t="n"/>
    </row>
    <row r="706" ht="12.75" customHeight="1" s="562">
      <c r="E706" s="55" t="n"/>
      <c r="N706" s="10" t="n"/>
      <c r="O706" s="6" t="n"/>
      <c r="T706" s="6" t="n"/>
      <c r="Z706" s="6" t="n"/>
      <c r="AB706" s="9" t="n"/>
      <c r="AC706" s="9" t="n"/>
      <c r="AD706" s="9" t="n"/>
      <c r="AE706" s="9" t="n"/>
      <c r="AF706" s="9" t="n"/>
      <c r="AG706" s="9" t="n"/>
      <c r="AH706" s="9" t="n"/>
      <c r="AI706" s="9" t="n"/>
      <c r="AJ706" s="9" t="n"/>
      <c r="AK706" s="9" t="n"/>
      <c r="AL706" s="9" t="n"/>
      <c r="AM706" s="10" t="n"/>
    </row>
    <row r="707" ht="12.75" customHeight="1" s="562">
      <c r="E707" s="55" t="n"/>
      <c r="N707" s="10" t="n"/>
      <c r="O707" s="6" t="n"/>
      <c r="T707" s="6" t="n"/>
      <c r="Z707" s="6" t="n"/>
      <c r="AB707" s="9" t="n"/>
      <c r="AC707" s="9" t="n"/>
      <c r="AD707" s="9" t="n"/>
      <c r="AE707" s="9" t="n"/>
      <c r="AF707" s="9" t="n"/>
      <c r="AG707" s="9" t="n"/>
      <c r="AH707" s="9" t="n"/>
      <c r="AI707" s="9" t="n"/>
      <c r="AJ707" s="9" t="n"/>
      <c r="AK707" s="9" t="n"/>
      <c r="AL707" s="9" t="n"/>
      <c r="AM707" s="10" t="n"/>
    </row>
    <row r="708" ht="12.75" customHeight="1" s="562">
      <c r="E708" s="55" t="n"/>
      <c r="N708" s="10" t="n"/>
      <c r="O708" s="6" t="n"/>
      <c r="T708" s="6" t="n"/>
      <c r="Z708" s="6" t="n"/>
      <c r="AB708" s="9" t="n"/>
      <c r="AC708" s="9" t="n"/>
      <c r="AD708" s="9" t="n"/>
      <c r="AE708" s="9" t="n"/>
      <c r="AF708" s="9" t="n"/>
      <c r="AG708" s="9" t="n"/>
      <c r="AH708" s="9" t="n"/>
      <c r="AI708" s="9" t="n"/>
      <c r="AJ708" s="9" t="n"/>
      <c r="AK708" s="9" t="n"/>
      <c r="AL708" s="9" t="n"/>
      <c r="AM708" s="10" t="n"/>
    </row>
    <row r="709" ht="12.75" customHeight="1" s="562">
      <c r="E709" s="55" t="n"/>
      <c r="N709" s="10" t="n"/>
      <c r="O709" s="6" t="n"/>
      <c r="T709" s="6" t="n"/>
      <c r="Z709" s="6" t="n"/>
      <c r="AB709" s="9" t="n"/>
      <c r="AC709" s="9" t="n"/>
      <c r="AD709" s="9" t="n"/>
      <c r="AE709" s="9" t="n"/>
      <c r="AF709" s="9" t="n"/>
      <c r="AG709" s="9" t="n"/>
      <c r="AH709" s="9" t="n"/>
      <c r="AI709" s="9" t="n"/>
      <c r="AJ709" s="9" t="n"/>
      <c r="AK709" s="9" t="n"/>
      <c r="AL709" s="9" t="n"/>
      <c r="AM709" s="10" t="n"/>
    </row>
    <row r="710" ht="12.75" customHeight="1" s="562">
      <c r="E710" s="55" t="n"/>
      <c r="N710" s="10" t="n"/>
      <c r="O710" s="6" t="n"/>
      <c r="T710" s="6" t="n"/>
      <c r="Z710" s="6" t="n"/>
      <c r="AB710" s="9" t="n"/>
      <c r="AC710" s="9" t="n"/>
      <c r="AD710" s="9" t="n"/>
      <c r="AE710" s="9" t="n"/>
      <c r="AF710" s="9" t="n"/>
      <c r="AG710" s="9" t="n"/>
      <c r="AH710" s="9" t="n"/>
      <c r="AI710" s="9" t="n"/>
      <c r="AJ710" s="9" t="n"/>
      <c r="AK710" s="9" t="n"/>
      <c r="AL710" s="9" t="n"/>
      <c r="AM710" s="10" t="n"/>
    </row>
    <row r="711" ht="12.75" customHeight="1" s="562">
      <c r="E711" s="55" t="n"/>
      <c r="N711" s="10" t="n"/>
      <c r="O711" s="6" t="n"/>
      <c r="T711" s="6" t="n"/>
      <c r="Z711" s="6" t="n"/>
      <c r="AB711" s="9" t="n"/>
      <c r="AC711" s="9" t="n"/>
      <c r="AD711" s="9" t="n"/>
      <c r="AE711" s="9" t="n"/>
      <c r="AF711" s="9" t="n"/>
      <c r="AG711" s="9" t="n"/>
      <c r="AH711" s="9" t="n"/>
      <c r="AI711" s="9" t="n"/>
      <c r="AJ711" s="9" t="n"/>
      <c r="AK711" s="9" t="n"/>
      <c r="AL711" s="9" t="n"/>
      <c r="AM711" s="10" t="n"/>
    </row>
    <row r="712" ht="12.75" customHeight="1" s="562">
      <c r="E712" s="55" t="n"/>
      <c r="N712" s="10" t="n"/>
      <c r="O712" s="6" t="n"/>
      <c r="T712" s="6" t="n"/>
      <c r="Z712" s="6" t="n"/>
      <c r="AB712" s="9" t="n"/>
      <c r="AC712" s="9" t="n"/>
      <c r="AD712" s="9" t="n"/>
      <c r="AE712" s="9" t="n"/>
      <c r="AF712" s="9" t="n"/>
      <c r="AG712" s="9" t="n"/>
      <c r="AH712" s="9" t="n"/>
      <c r="AI712" s="9" t="n"/>
      <c r="AJ712" s="9" t="n"/>
      <c r="AK712" s="9" t="n"/>
      <c r="AL712" s="9" t="n"/>
      <c r="AM712" s="10" t="n"/>
    </row>
    <row r="713" ht="12.75" customHeight="1" s="562">
      <c r="E713" s="55" t="n"/>
      <c r="N713" s="10" t="n"/>
      <c r="O713" s="6" t="n"/>
      <c r="T713" s="6" t="n"/>
      <c r="Z713" s="6" t="n"/>
      <c r="AB713" s="9" t="n"/>
      <c r="AC713" s="9" t="n"/>
      <c r="AD713" s="9" t="n"/>
      <c r="AE713" s="9" t="n"/>
      <c r="AF713" s="9" t="n"/>
      <c r="AG713" s="9" t="n"/>
      <c r="AH713" s="9" t="n"/>
      <c r="AI713" s="9" t="n"/>
      <c r="AJ713" s="9" t="n"/>
      <c r="AK713" s="9" t="n"/>
      <c r="AL713" s="9" t="n"/>
      <c r="AM713" s="10" t="n"/>
    </row>
    <row r="714" ht="12.75" customHeight="1" s="562">
      <c r="E714" s="55" t="n"/>
      <c r="N714" s="10" t="n"/>
      <c r="O714" s="6" t="n"/>
      <c r="T714" s="6" t="n"/>
      <c r="Z714" s="6" t="n"/>
      <c r="AB714" s="9" t="n"/>
      <c r="AC714" s="9" t="n"/>
      <c r="AD714" s="9" t="n"/>
      <c r="AE714" s="9" t="n"/>
      <c r="AF714" s="9" t="n"/>
      <c r="AG714" s="9" t="n"/>
      <c r="AH714" s="9" t="n"/>
      <c r="AI714" s="9" t="n"/>
      <c r="AJ714" s="9" t="n"/>
      <c r="AK714" s="9" t="n"/>
      <c r="AL714" s="9" t="n"/>
      <c r="AM714" s="10" t="n"/>
    </row>
    <row r="715" ht="12.75" customHeight="1" s="562">
      <c r="E715" s="55" t="n"/>
      <c r="N715" s="10" t="n"/>
      <c r="O715" s="6" t="n"/>
      <c r="T715" s="6" t="n"/>
      <c r="Z715" s="6" t="n"/>
      <c r="AB715" s="9" t="n"/>
      <c r="AC715" s="9" t="n"/>
      <c r="AD715" s="9" t="n"/>
      <c r="AE715" s="9" t="n"/>
      <c r="AF715" s="9" t="n"/>
      <c r="AG715" s="9" t="n"/>
      <c r="AH715" s="9" t="n"/>
      <c r="AI715" s="9" t="n"/>
      <c r="AJ715" s="9" t="n"/>
      <c r="AK715" s="9" t="n"/>
      <c r="AL715" s="9" t="n"/>
      <c r="AM715" s="10" t="n"/>
    </row>
    <row r="716" ht="12.75" customHeight="1" s="562">
      <c r="E716" s="55" t="n"/>
      <c r="N716" s="10" t="n"/>
      <c r="O716" s="6" t="n"/>
      <c r="T716" s="6" t="n"/>
      <c r="Z716" s="6" t="n"/>
      <c r="AB716" s="9" t="n"/>
      <c r="AC716" s="9" t="n"/>
      <c r="AD716" s="9" t="n"/>
      <c r="AE716" s="9" t="n"/>
      <c r="AF716" s="9" t="n"/>
      <c r="AG716" s="9" t="n"/>
      <c r="AH716" s="9" t="n"/>
      <c r="AI716" s="9" t="n"/>
      <c r="AJ716" s="9" t="n"/>
      <c r="AK716" s="9" t="n"/>
      <c r="AL716" s="9" t="n"/>
      <c r="AM716" s="10" t="n"/>
    </row>
    <row r="717" ht="12.75" customHeight="1" s="562">
      <c r="E717" s="55" t="n"/>
      <c r="N717" s="10" t="n"/>
      <c r="O717" s="6" t="n"/>
      <c r="T717" s="6" t="n"/>
      <c r="Z717" s="6" t="n"/>
      <c r="AB717" s="9" t="n"/>
      <c r="AC717" s="9" t="n"/>
      <c r="AD717" s="9" t="n"/>
      <c r="AE717" s="9" t="n"/>
      <c r="AF717" s="9" t="n"/>
      <c r="AG717" s="9" t="n"/>
      <c r="AH717" s="9" t="n"/>
      <c r="AI717" s="9" t="n"/>
      <c r="AJ717" s="9" t="n"/>
      <c r="AK717" s="9" t="n"/>
      <c r="AL717" s="9" t="n"/>
      <c r="AM717" s="10" t="n"/>
    </row>
    <row r="718" ht="12.75" customHeight="1" s="562">
      <c r="E718" s="55" t="n"/>
      <c r="N718" s="10" t="n"/>
      <c r="O718" s="6" t="n"/>
      <c r="T718" s="6" t="n"/>
      <c r="Z718" s="6" t="n"/>
      <c r="AB718" s="9" t="n"/>
      <c r="AC718" s="9" t="n"/>
      <c r="AD718" s="9" t="n"/>
      <c r="AE718" s="9" t="n"/>
      <c r="AF718" s="9" t="n"/>
      <c r="AG718" s="9" t="n"/>
      <c r="AH718" s="9" t="n"/>
      <c r="AI718" s="9" t="n"/>
      <c r="AJ718" s="9" t="n"/>
      <c r="AK718" s="9" t="n"/>
      <c r="AL718" s="9" t="n"/>
      <c r="AM718" s="10" t="n"/>
    </row>
    <row r="719" ht="12.75" customHeight="1" s="562">
      <c r="E719" s="55" t="n"/>
      <c r="N719" s="10" t="n"/>
      <c r="O719" s="6" t="n"/>
      <c r="T719" s="6" t="n"/>
      <c r="Z719" s="6" t="n"/>
      <c r="AB719" s="9" t="n"/>
      <c r="AC719" s="9" t="n"/>
      <c r="AD719" s="9" t="n"/>
      <c r="AE719" s="9" t="n"/>
      <c r="AF719" s="9" t="n"/>
      <c r="AG719" s="9" t="n"/>
      <c r="AH719" s="9" t="n"/>
      <c r="AI719" s="9" t="n"/>
      <c r="AJ719" s="9" t="n"/>
      <c r="AK719" s="9" t="n"/>
      <c r="AL719" s="9" t="n"/>
      <c r="AM719" s="10" t="n"/>
    </row>
    <row r="720" ht="12.75" customHeight="1" s="562">
      <c r="E720" s="55" t="n"/>
      <c r="N720" s="10" t="n"/>
      <c r="O720" s="6" t="n"/>
      <c r="T720" s="6" t="n"/>
      <c r="Z720" s="6" t="n"/>
      <c r="AB720" s="9" t="n"/>
      <c r="AC720" s="9" t="n"/>
      <c r="AD720" s="9" t="n"/>
      <c r="AE720" s="9" t="n"/>
      <c r="AF720" s="9" t="n"/>
      <c r="AG720" s="9" t="n"/>
      <c r="AH720" s="9" t="n"/>
      <c r="AI720" s="9" t="n"/>
      <c r="AJ720" s="9" t="n"/>
      <c r="AK720" s="9" t="n"/>
      <c r="AL720" s="9" t="n"/>
      <c r="AM720" s="10" t="n"/>
    </row>
    <row r="721" ht="12.75" customHeight="1" s="562">
      <c r="E721" s="55" t="n"/>
      <c r="N721" s="10" t="n"/>
      <c r="O721" s="6" t="n"/>
      <c r="T721" s="6" t="n"/>
      <c r="Z721" s="6" t="n"/>
      <c r="AB721" s="9" t="n"/>
      <c r="AC721" s="9" t="n"/>
      <c r="AD721" s="9" t="n"/>
      <c r="AE721" s="9" t="n"/>
      <c r="AF721" s="9" t="n"/>
      <c r="AG721" s="9" t="n"/>
      <c r="AH721" s="9" t="n"/>
      <c r="AI721" s="9" t="n"/>
      <c r="AJ721" s="9" t="n"/>
      <c r="AK721" s="9" t="n"/>
      <c r="AL721" s="9" t="n"/>
      <c r="AM721" s="10" t="n"/>
    </row>
    <row r="722" ht="12.75" customHeight="1" s="562">
      <c r="E722" s="55" t="n"/>
      <c r="N722" s="10" t="n"/>
      <c r="O722" s="6" t="n"/>
      <c r="T722" s="6" t="n"/>
      <c r="Z722" s="6" t="n"/>
      <c r="AB722" s="9" t="n"/>
      <c r="AC722" s="9" t="n"/>
      <c r="AD722" s="9" t="n"/>
      <c r="AE722" s="9" t="n"/>
      <c r="AF722" s="9" t="n"/>
      <c r="AG722" s="9" t="n"/>
      <c r="AH722" s="9" t="n"/>
      <c r="AI722" s="9" t="n"/>
      <c r="AJ722" s="9" t="n"/>
      <c r="AK722" s="9" t="n"/>
      <c r="AL722" s="9" t="n"/>
      <c r="AM722" s="10" t="n"/>
    </row>
    <row r="723" ht="12.75" customHeight="1" s="562">
      <c r="E723" s="55" t="n"/>
      <c r="N723" s="10" t="n"/>
      <c r="O723" s="6" t="n"/>
      <c r="T723" s="6" t="n"/>
      <c r="Z723" s="6" t="n"/>
      <c r="AB723" s="9" t="n"/>
      <c r="AC723" s="9" t="n"/>
      <c r="AD723" s="9" t="n"/>
      <c r="AE723" s="9" t="n"/>
      <c r="AF723" s="9" t="n"/>
      <c r="AG723" s="9" t="n"/>
      <c r="AH723" s="9" t="n"/>
      <c r="AI723" s="9" t="n"/>
      <c r="AJ723" s="9" t="n"/>
      <c r="AK723" s="9" t="n"/>
      <c r="AL723" s="9" t="n"/>
      <c r="AM723" s="10" t="n"/>
    </row>
    <row r="724" ht="12.75" customHeight="1" s="562">
      <c r="E724" s="55" t="n"/>
      <c r="N724" s="10" t="n"/>
      <c r="O724" s="6" t="n"/>
      <c r="T724" s="6" t="n"/>
      <c r="Z724" s="6" t="n"/>
      <c r="AB724" s="9" t="n"/>
      <c r="AC724" s="9" t="n"/>
      <c r="AD724" s="9" t="n"/>
      <c r="AE724" s="9" t="n"/>
      <c r="AF724" s="9" t="n"/>
      <c r="AG724" s="9" t="n"/>
      <c r="AH724" s="9" t="n"/>
      <c r="AI724" s="9" t="n"/>
      <c r="AJ724" s="9" t="n"/>
      <c r="AK724" s="9" t="n"/>
      <c r="AL724" s="9" t="n"/>
      <c r="AM724" s="10" t="n"/>
    </row>
    <row r="725" ht="12.75" customHeight="1" s="562">
      <c r="E725" s="55" t="n"/>
      <c r="N725" s="10" t="n"/>
      <c r="O725" s="6" t="n"/>
      <c r="T725" s="6" t="n"/>
      <c r="Z725" s="6" t="n"/>
      <c r="AB725" s="9" t="n"/>
      <c r="AC725" s="9" t="n"/>
      <c r="AD725" s="9" t="n"/>
      <c r="AE725" s="9" t="n"/>
      <c r="AF725" s="9" t="n"/>
      <c r="AG725" s="9" t="n"/>
      <c r="AH725" s="9" t="n"/>
      <c r="AI725" s="9" t="n"/>
      <c r="AJ725" s="9" t="n"/>
      <c r="AK725" s="9" t="n"/>
      <c r="AL725" s="9" t="n"/>
      <c r="AM725" s="10" t="n"/>
    </row>
    <row r="726" ht="12.75" customHeight="1" s="562">
      <c r="E726" s="55" t="n"/>
      <c r="N726" s="10" t="n"/>
      <c r="O726" s="6" t="n"/>
      <c r="T726" s="6" t="n"/>
      <c r="Z726" s="6" t="n"/>
      <c r="AB726" s="9" t="n"/>
      <c r="AC726" s="9" t="n"/>
      <c r="AD726" s="9" t="n"/>
      <c r="AE726" s="9" t="n"/>
      <c r="AF726" s="9" t="n"/>
      <c r="AG726" s="9" t="n"/>
      <c r="AH726" s="9" t="n"/>
      <c r="AI726" s="9" t="n"/>
      <c r="AJ726" s="9" t="n"/>
      <c r="AK726" s="9" t="n"/>
      <c r="AL726" s="9" t="n"/>
      <c r="AM726" s="10" t="n"/>
    </row>
    <row r="727" ht="12.75" customHeight="1" s="562">
      <c r="E727" s="55" t="n"/>
      <c r="N727" s="10" t="n"/>
      <c r="O727" s="6" t="n"/>
      <c r="T727" s="6" t="n"/>
      <c r="Z727" s="6" t="n"/>
      <c r="AB727" s="9" t="n"/>
      <c r="AC727" s="9" t="n"/>
      <c r="AD727" s="9" t="n"/>
      <c r="AE727" s="9" t="n"/>
      <c r="AF727" s="9" t="n"/>
      <c r="AG727" s="9" t="n"/>
      <c r="AH727" s="9" t="n"/>
      <c r="AI727" s="9" t="n"/>
      <c r="AJ727" s="9" t="n"/>
      <c r="AK727" s="9" t="n"/>
      <c r="AL727" s="9" t="n"/>
      <c r="AM727" s="10" t="n"/>
    </row>
    <row r="728" ht="12.75" customHeight="1" s="562">
      <c r="E728" s="55" t="n"/>
      <c r="N728" s="10" t="n"/>
      <c r="O728" s="6" t="n"/>
      <c r="T728" s="6" t="n"/>
      <c r="Z728" s="6" t="n"/>
      <c r="AB728" s="9" t="n"/>
      <c r="AC728" s="9" t="n"/>
      <c r="AD728" s="9" t="n"/>
      <c r="AE728" s="9" t="n"/>
      <c r="AF728" s="9" t="n"/>
      <c r="AG728" s="9" t="n"/>
      <c r="AH728" s="9" t="n"/>
      <c r="AI728" s="9" t="n"/>
      <c r="AJ728" s="9" t="n"/>
      <c r="AK728" s="9" t="n"/>
      <c r="AL728" s="9" t="n"/>
      <c r="AM728" s="10" t="n"/>
    </row>
    <row r="729" ht="12.75" customHeight="1" s="562">
      <c r="E729" s="55" t="n"/>
      <c r="N729" s="10" t="n"/>
      <c r="O729" s="6" t="n"/>
      <c r="T729" s="6" t="n"/>
      <c r="Z729" s="6" t="n"/>
      <c r="AB729" s="9" t="n"/>
      <c r="AC729" s="9" t="n"/>
      <c r="AD729" s="9" t="n"/>
      <c r="AE729" s="9" t="n"/>
      <c r="AF729" s="9" t="n"/>
      <c r="AG729" s="9" t="n"/>
      <c r="AH729" s="9" t="n"/>
      <c r="AI729" s="9" t="n"/>
      <c r="AJ729" s="9" t="n"/>
      <c r="AK729" s="9" t="n"/>
      <c r="AL729" s="9" t="n"/>
      <c r="AM729" s="10" t="n"/>
    </row>
    <row r="730" ht="12.75" customHeight="1" s="562">
      <c r="E730" s="55" t="n"/>
      <c r="N730" s="10" t="n"/>
      <c r="O730" s="6" t="n"/>
      <c r="T730" s="6" t="n"/>
      <c r="Z730" s="6" t="n"/>
      <c r="AB730" s="9" t="n"/>
      <c r="AC730" s="9" t="n"/>
      <c r="AD730" s="9" t="n"/>
      <c r="AE730" s="9" t="n"/>
      <c r="AF730" s="9" t="n"/>
      <c r="AG730" s="9" t="n"/>
      <c r="AH730" s="9" t="n"/>
      <c r="AI730" s="9" t="n"/>
      <c r="AJ730" s="9" t="n"/>
      <c r="AK730" s="9" t="n"/>
      <c r="AL730" s="9" t="n"/>
      <c r="AM730" s="10" t="n"/>
    </row>
    <row r="731" ht="12.75" customHeight="1" s="562">
      <c r="E731" s="55" t="n"/>
      <c r="N731" s="10" t="n"/>
      <c r="O731" s="6" t="n"/>
      <c r="T731" s="6" t="n"/>
      <c r="Z731" s="6" t="n"/>
      <c r="AB731" s="9" t="n"/>
      <c r="AC731" s="9" t="n"/>
      <c r="AD731" s="9" t="n"/>
      <c r="AE731" s="9" t="n"/>
      <c r="AF731" s="9" t="n"/>
      <c r="AG731" s="9" t="n"/>
      <c r="AH731" s="9" t="n"/>
      <c r="AI731" s="9" t="n"/>
      <c r="AJ731" s="9" t="n"/>
      <c r="AK731" s="9" t="n"/>
      <c r="AL731" s="9" t="n"/>
      <c r="AM731" s="10" t="n"/>
    </row>
    <row r="732" ht="12.75" customHeight="1" s="562">
      <c r="E732" s="55" t="n"/>
      <c r="N732" s="10" t="n"/>
      <c r="O732" s="6" t="n"/>
      <c r="T732" s="6" t="n"/>
      <c r="Z732" s="6" t="n"/>
      <c r="AB732" s="9" t="n"/>
      <c r="AC732" s="9" t="n"/>
      <c r="AD732" s="9" t="n"/>
      <c r="AE732" s="9" t="n"/>
      <c r="AF732" s="9" t="n"/>
      <c r="AG732" s="9" t="n"/>
      <c r="AH732" s="9" t="n"/>
      <c r="AI732" s="9" t="n"/>
      <c r="AJ732" s="9" t="n"/>
      <c r="AK732" s="9" t="n"/>
      <c r="AL732" s="9" t="n"/>
      <c r="AM732" s="10" t="n"/>
    </row>
    <row r="733" ht="12.75" customHeight="1" s="562">
      <c r="E733" s="55" t="n"/>
      <c r="N733" s="10" t="n"/>
      <c r="O733" s="6" t="n"/>
      <c r="T733" s="6" t="n"/>
      <c r="Z733" s="6" t="n"/>
      <c r="AB733" s="9" t="n"/>
      <c r="AC733" s="9" t="n"/>
      <c r="AD733" s="9" t="n"/>
      <c r="AE733" s="9" t="n"/>
      <c r="AF733" s="9" t="n"/>
      <c r="AG733" s="9" t="n"/>
      <c r="AH733" s="9" t="n"/>
      <c r="AI733" s="9" t="n"/>
      <c r="AJ733" s="9" t="n"/>
      <c r="AK733" s="9" t="n"/>
      <c r="AL733" s="9" t="n"/>
      <c r="AM733" s="10" t="n"/>
    </row>
    <row r="734" ht="12.75" customHeight="1" s="562">
      <c r="E734" s="55" t="n"/>
      <c r="N734" s="10" t="n"/>
      <c r="O734" s="6" t="n"/>
      <c r="T734" s="6" t="n"/>
      <c r="Z734" s="6" t="n"/>
      <c r="AB734" s="9" t="n"/>
      <c r="AC734" s="9" t="n"/>
      <c r="AD734" s="9" t="n"/>
      <c r="AE734" s="9" t="n"/>
      <c r="AF734" s="9" t="n"/>
      <c r="AG734" s="9" t="n"/>
      <c r="AH734" s="9" t="n"/>
      <c r="AI734" s="9" t="n"/>
      <c r="AJ734" s="9" t="n"/>
      <c r="AK734" s="9" t="n"/>
      <c r="AL734" s="9" t="n"/>
      <c r="AM734" s="10" t="n"/>
    </row>
    <row r="735" ht="12.75" customHeight="1" s="562">
      <c r="E735" s="55" t="n"/>
      <c r="N735" s="10" t="n"/>
      <c r="O735" s="6" t="n"/>
      <c r="T735" s="6" t="n"/>
      <c r="Z735" s="6" t="n"/>
      <c r="AB735" s="9" t="n"/>
      <c r="AC735" s="9" t="n"/>
      <c r="AD735" s="9" t="n"/>
      <c r="AE735" s="9" t="n"/>
      <c r="AF735" s="9" t="n"/>
      <c r="AG735" s="9" t="n"/>
      <c r="AH735" s="9" t="n"/>
      <c r="AI735" s="9" t="n"/>
      <c r="AJ735" s="9" t="n"/>
      <c r="AK735" s="9" t="n"/>
      <c r="AL735" s="9" t="n"/>
      <c r="AM735" s="10" t="n"/>
    </row>
    <row r="736" ht="12.75" customHeight="1" s="562">
      <c r="E736" s="55" t="n"/>
      <c r="N736" s="10" t="n"/>
      <c r="O736" s="6" t="n"/>
      <c r="T736" s="6" t="n"/>
      <c r="Z736" s="6" t="n"/>
      <c r="AB736" s="9" t="n"/>
      <c r="AC736" s="9" t="n"/>
      <c r="AD736" s="9" t="n"/>
      <c r="AE736" s="9" t="n"/>
      <c r="AF736" s="9" t="n"/>
      <c r="AG736" s="9" t="n"/>
      <c r="AH736" s="9" t="n"/>
      <c r="AI736" s="9" t="n"/>
      <c r="AJ736" s="9" t="n"/>
      <c r="AK736" s="9" t="n"/>
      <c r="AL736" s="9" t="n"/>
      <c r="AM736" s="10" t="n"/>
    </row>
    <row r="737" ht="12.75" customHeight="1" s="562">
      <c r="E737" s="55" t="n"/>
      <c r="N737" s="10" t="n"/>
      <c r="O737" s="6" t="n"/>
      <c r="T737" s="6" t="n"/>
      <c r="Z737" s="6" t="n"/>
      <c r="AB737" s="9" t="n"/>
      <c r="AC737" s="9" t="n"/>
      <c r="AD737" s="9" t="n"/>
      <c r="AE737" s="9" t="n"/>
      <c r="AF737" s="9" t="n"/>
      <c r="AG737" s="9" t="n"/>
      <c r="AH737" s="9" t="n"/>
      <c r="AI737" s="9" t="n"/>
      <c r="AJ737" s="9" t="n"/>
      <c r="AK737" s="9" t="n"/>
      <c r="AL737" s="9" t="n"/>
      <c r="AM737" s="10" t="n"/>
    </row>
    <row r="738" ht="12.75" customHeight="1" s="562">
      <c r="E738" s="55" t="n"/>
      <c r="N738" s="10" t="n"/>
      <c r="O738" s="6" t="n"/>
      <c r="T738" s="6" t="n"/>
      <c r="Z738" s="6" t="n"/>
      <c r="AB738" s="9" t="n"/>
      <c r="AC738" s="9" t="n"/>
      <c r="AD738" s="9" t="n"/>
      <c r="AE738" s="9" t="n"/>
      <c r="AF738" s="9" t="n"/>
      <c r="AG738" s="9" t="n"/>
      <c r="AH738" s="9" t="n"/>
      <c r="AI738" s="9" t="n"/>
      <c r="AJ738" s="9" t="n"/>
      <c r="AK738" s="9" t="n"/>
      <c r="AL738" s="9" t="n"/>
      <c r="AM738" s="10" t="n"/>
    </row>
    <row r="739" ht="12.75" customHeight="1" s="562">
      <c r="E739" s="55" t="n"/>
      <c r="N739" s="10" t="n"/>
      <c r="O739" s="6" t="n"/>
      <c r="T739" s="6" t="n"/>
      <c r="Z739" s="6" t="n"/>
      <c r="AB739" s="9" t="n"/>
      <c r="AC739" s="9" t="n"/>
      <c r="AD739" s="9" t="n"/>
      <c r="AE739" s="9" t="n"/>
      <c r="AF739" s="9" t="n"/>
      <c r="AG739" s="9" t="n"/>
      <c r="AH739" s="9" t="n"/>
      <c r="AI739" s="9" t="n"/>
      <c r="AJ739" s="9" t="n"/>
      <c r="AK739" s="9" t="n"/>
      <c r="AL739" s="9" t="n"/>
      <c r="AM739" s="10" t="n"/>
    </row>
    <row r="740" ht="12.75" customHeight="1" s="562">
      <c r="E740" s="55" t="n"/>
      <c r="N740" s="10" t="n"/>
      <c r="O740" s="6" t="n"/>
      <c r="T740" s="6" t="n"/>
      <c r="Z740" s="6" t="n"/>
      <c r="AB740" s="9" t="n"/>
      <c r="AC740" s="9" t="n"/>
      <c r="AD740" s="9" t="n"/>
      <c r="AE740" s="9" t="n"/>
      <c r="AF740" s="9" t="n"/>
      <c r="AG740" s="9" t="n"/>
      <c r="AH740" s="9" t="n"/>
      <c r="AI740" s="9" t="n"/>
      <c r="AJ740" s="9" t="n"/>
      <c r="AK740" s="9" t="n"/>
      <c r="AL740" s="9" t="n"/>
      <c r="AM740" s="10" t="n"/>
    </row>
    <row r="741" ht="12.75" customHeight="1" s="562">
      <c r="E741" s="55" t="n"/>
      <c r="N741" s="10" t="n"/>
      <c r="O741" s="6" t="n"/>
      <c r="T741" s="6" t="n"/>
      <c r="Z741" s="6" t="n"/>
      <c r="AB741" s="9" t="n"/>
      <c r="AC741" s="9" t="n"/>
      <c r="AD741" s="9" t="n"/>
      <c r="AE741" s="9" t="n"/>
      <c r="AF741" s="9" t="n"/>
      <c r="AG741" s="9" t="n"/>
      <c r="AH741" s="9" t="n"/>
      <c r="AI741" s="9" t="n"/>
      <c r="AJ741" s="9" t="n"/>
      <c r="AK741" s="9" t="n"/>
      <c r="AL741" s="9" t="n"/>
      <c r="AM741" s="10" t="n"/>
    </row>
    <row r="742" ht="12.75" customHeight="1" s="562">
      <c r="E742" s="55" t="n"/>
      <c r="N742" s="10" t="n"/>
      <c r="O742" s="6" t="n"/>
      <c r="T742" s="6" t="n"/>
      <c r="Z742" s="6" t="n"/>
      <c r="AB742" s="9" t="n"/>
      <c r="AC742" s="9" t="n"/>
      <c r="AD742" s="9" t="n"/>
      <c r="AE742" s="9" t="n"/>
      <c r="AF742" s="9" t="n"/>
      <c r="AG742" s="9" t="n"/>
      <c r="AH742" s="9" t="n"/>
      <c r="AI742" s="9" t="n"/>
      <c r="AJ742" s="9" t="n"/>
      <c r="AK742" s="9" t="n"/>
      <c r="AL742" s="9" t="n"/>
      <c r="AM742" s="10" t="n"/>
    </row>
    <row r="743" ht="12.75" customHeight="1" s="562">
      <c r="E743" s="55" t="n"/>
      <c r="N743" s="10" t="n"/>
      <c r="O743" s="6" t="n"/>
      <c r="T743" s="6" t="n"/>
      <c r="Z743" s="6" t="n"/>
      <c r="AB743" s="9" t="n"/>
      <c r="AC743" s="9" t="n"/>
      <c r="AD743" s="9" t="n"/>
      <c r="AE743" s="9" t="n"/>
      <c r="AF743" s="9" t="n"/>
      <c r="AG743" s="9" t="n"/>
      <c r="AH743" s="9" t="n"/>
      <c r="AI743" s="9" t="n"/>
      <c r="AJ743" s="9" t="n"/>
      <c r="AK743" s="9" t="n"/>
      <c r="AL743" s="9" t="n"/>
      <c r="AM743" s="10" t="n"/>
    </row>
    <row r="744" ht="12.75" customHeight="1" s="562">
      <c r="E744" s="55" t="n"/>
      <c r="N744" s="10" t="n"/>
      <c r="O744" s="6" t="n"/>
      <c r="T744" s="6" t="n"/>
      <c r="Z744" s="6" t="n"/>
      <c r="AB744" s="9" t="n"/>
      <c r="AC744" s="9" t="n"/>
      <c r="AD744" s="9" t="n"/>
      <c r="AE744" s="9" t="n"/>
      <c r="AF744" s="9" t="n"/>
      <c r="AG744" s="9" t="n"/>
      <c r="AH744" s="9" t="n"/>
      <c r="AI744" s="9" t="n"/>
      <c r="AJ744" s="9" t="n"/>
      <c r="AK744" s="9" t="n"/>
      <c r="AL744" s="9" t="n"/>
      <c r="AM744" s="10" t="n"/>
    </row>
    <row r="745" ht="12.75" customHeight="1" s="562">
      <c r="E745" s="55" t="n"/>
      <c r="N745" s="10" t="n"/>
      <c r="O745" s="6" t="n"/>
      <c r="T745" s="6" t="n"/>
      <c r="Z745" s="6" t="n"/>
      <c r="AB745" s="9" t="n"/>
      <c r="AC745" s="9" t="n"/>
      <c r="AD745" s="9" t="n"/>
      <c r="AE745" s="9" t="n"/>
      <c r="AF745" s="9" t="n"/>
      <c r="AG745" s="9" t="n"/>
      <c r="AH745" s="9" t="n"/>
      <c r="AI745" s="9" t="n"/>
      <c r="AJ745" s="9" t="n"/>
      <c r="AK745" s="9" t="n"/>
      <c r="AL745" s="9" t="n"/>
      <c r="AM745" s="10" t="n"/>
    </row>
    <row r="746" ht="12.75" customHeight="1" s="562">
      <c r="E746" s="55" t="n"/>
      <c r="N746" s="10" t="n"/>
      <c r="O746" s="6" t="n"/>
      <c r="T746" s="6" t="n"/>
      <c r="Z746" s="6" t="n"/>
      <c r="AB746" s="9" t="n"/>
      <c r="AC746" s="9" t="n"/>
      <c r="AD746" s="9" t="n"/>
      <c r="AE746" s="9" t="n"/>
      <c r="AF746" s="9" t="n"/>
      <c r="AG746" s="9" t="n"/>
      <c r="AH746" s="9" t="n"/>
      <c r="AI746" s="9" t="n"/>
      <c r="AJ746" s="9" t="n"/>
      <c r="AK746" s="9" t="n"/>
      <c r="AL746" s="9" t="n"/>
      <c r="AM746" s="10" t="n"/>
    </row>
    <row r="747" ht="12.75" customHeight="1" s="562">
      <c r="E747" s="55" t="n"/>
      <c r="N747" s="10" t="n"/>
      <c r="O747" s="6" t="n"/>
      <c r="T747" s="6" t="n"/>
      <c r="Z747" s="6" t="n"/>
      <c r="AB747" s="9" t="n"/>
      <c r="AC747" s="9" t="n"/>
      <c r="AD747" s="9" t="n"/>
      <c r="AE747" s="9" t="n"/>
      <c r="AF747" s="9" t="n"/>
      <c r="AG747" s="9" t="n"/>
      <c r="AH747" s="9" t="n"/>
      <c r="AI747" s="9" t="n"/>
      <c r="AJ747" s="9" t="n"/>
      <c r="AK747" s="9" t="n"/>
      <c r="AL747" s="9" t="n"/>
      <c r="AM747" s="10" t="n"/>
    </row>
    <row r="748" ht="12.75" customHeight="1" s="562">
      <c r="E748" s="55" t="n"/>
      <c r="N748" s="10" t="n"/>
      <c r="O748" s="6" t="n"/>
      <c r="T748" s="6" t="n"/>
      <c r="Z748" s="6" t="n"/>
      <c r="AB748" s="9" t="n"/>
      <c r="AC748" s="9" t="n"/>
      <c r="AD748" s="9" t="n"/>
      <c r="AE748" s="9" t="n"/>
      <c r="AF748" s="9" t="n"/>
      <c r="AG748" s="9" t="n"/>
      <c r="AH748" s="9" t="n"/>
      <c r="AI748" s="9" t="n"/>
      <c r="AJ748" s="9" t="n"/>
      <c r="AK748" s="9" t="n"/>
      <c r="AL748" s="9" t="n"/>
      <c r="AM748" s="10" t="n"/>
    </row>
    <row r="749" ht="12.75" customHeight="1" s="562">
      <c r="E749" s="55" t="n"/>
      <c r="N749" s="10" t="n"/>
      <c r="O749" s="6" t="n"/>
      <c r="T749" s="6" t="n"/>
      <c r="Z749" s="6" t="n"/>
      <c r="AB749" s="9" t="n"/>
      <c r="AC749" s="9" t="n"/>
      <c r="AD749" s="9" t="n"/>
      <c r="AE749" s="9" t="n"/>
      <c r="AF749" s="9" t="n"/>
      <c r="AG749" s="9" t="n"/>
      <c r="AH749" s="9" t="n"/>
      <c r="AI749" s="9" t="n"/>
      <c r="AJ749" s="9" t="n"/>
      <c r="AK749" s="9" t="n"/>
      <c r="AL749" s="9" t="n"/>
      <c r="AM749" s="10" t="n"/>
    </row>
    <row r="750" ht="12.75" customHeight="1" s="562">
      <c r="E750" s="55" t="n"/>
      <c r="N750" s="10" t="n"/>
      <c r="O750" s="6" t="n"/>
      <c r="T750" s="6" t="n"/>
      <c r="Z750" s="6" t="n"/>
      <c r="AB750" s="9" t="n"/>
      <c r="AC750" s="9" t="n"/>
      <c r="AD750" s="9" t="n"/>
      <c r="AE750" s="9" t="n"/>
      <c r="AF750" s="9" t="n"/>
      <c r="AG750" s="9" t="n"/>
      <c r="AH750" s="9" t="n"/>
      <c r="AI750" s="9" t="n"/>
      <c r="AJ750" s="9" t="n"/>
      <c r="AK750" s="9" t="n"/>
      <c r="AL750" s="9" t="n"/>
      <c r="AM750" s="10" t="n"/>
    </row>
    <row r="751" ht="12.75" customHeight="1" s="562">
      <c r="E751" s="55" t="n"/>
      <c r="N751" s="10" t="n"/>
      <c r="O751" s="6" t="n"/>
      <c r="T751" s="6" t="n"/>
      <c r="Z751" s="6" t="n"/>
      <c r="AB751" s="9" t="n"/>
      <c r="AC751" s="9" t="n"/>
      <c r="AD751" s="9" t="n"/>
      <c r="AE751" s="9" t="n"/>
      <c r="AF751" s="9" t="n"/>
      <c r="AG751" s="9" t="n"/>
      <c r="AH751" s="9" t="n"/>
      <c r="AI751" s="9" t="n"/>
      <c r="AJ751" s="9" t="n"/>
      <c r="AK751" s="9" t="n"/>
      <c r="AL751" s="9" t="n"/>
      <c r="AM751" s="10" t="n"/>
    </row>
    <row r="752" ht="12.75" customHeight="1" s="562">
      <c r="E752" s="55" t="n"/>
      <c r="N752" s="10" t="n"/>
      <c r="O752" s="6" t="n"/>
      <c r="T752" s="6" t="n"/>
      <c r="Z752" s="6" t="n"/>
      <c r="AB752" s="9" t="n"/>
      <c r="AC752" s="9" t="n"/>
      <c r="AD752" s="9" t="n"/>
      <c r="AE752" s="9" t="n"/>
      <c r="AF752" s="9" t="n"/>
      <c r="AG752" s="9" t="n"/>
      <c r="AH752" s="9" t="n"/>
      <c r="AI752" s="9" t="n"/>
      <c r="AJ752" s="9" t="n"/>
      <c r="AK752" s="9" t="n"/>
      <c r="AL752" s="9" t="n"/>
      <c r="AM752" s="10" t="n"/>
    </row>
    <row r="753" ht="12.75" customHeight="1" s="562">
      <c r="E753" s="55" t="n"/>
      <c r="N753" s="10" t="n"/>
      <c r="O753" s="6" t="n"/>
      <c r="T753" s="6" t="n"/>
      <c r="Z753" s="6" t="n"/>
      <c r="AB753" s="9" t="n"/>
      <c r="AC753" s="9" t="n"/>
      <c r="AD753" s="9" t="n"/>
      <c r="AE753" s="9" t="n"/>
      <c r="AF753" s="9" t="n"/>
      <c r="AG753" s="9" t="n"/>
      <c r="AH753" s="9" t="n"/>
      <c r="AI753" s="9" t="n"/>
      <c r="AJ753" s="9" t="n"/>
      <c r="AK753" s="9" t="n"/>
      <c r="AL753" s="9" t="n"/>
      <c r="AM753" s="10" t="n"/>
    </row>
    <row r="754" ht="12.75" customHeight="1" s="562">
      <c r="E754" s="55" t="n"/>
      <c r="N754" s="10" t="n"/>
      <c r="O754" s="6" t="n"/>
      <c r="T754" s="6" t="n"/>
      <c r="Z754" s="6" t="n"/>
      <c r="AB754" s="9" t="n"/>
      <c r="AC754" s="9" t="n"/>
      <c r="AD754" s="9" t="n"/>
      <c r="AE754" s="9" t="n"/>
      <c r="AF754" s="9" t="n"/>
      <c r="AG754" s="9" t="n"/>
      <c r="AH754" s="9" t="n"/>
      <c r="AI754" s="9" t="n"/>
      <c r="AJ754" s="9" t="n"/>
      <c r="AK754" s="9" t="n"/>
      <c r="AL754" s="9" t="n"/>
      <c r="AM754" s="10" t="n"/>
    </row>
    <row r="755" ht="12.75" customHeight="1" s="562">
      <c r="E755" s="55" t="n"/>
      <c r="N755" s="10" t="n"/>
      <c r="O755" s="6" t="n"/>
      <c r="T755" s="6" t="n"/>
      <c r="Z755" s="6" t="n"/>
      <c r="AB755" s="9" t="n"/>
      <c r="AC755" s="9" t="n"/>
      <c r="AD755" s="9" t="n"/>
      <c r="AE755" s="9" t="n"/>
      <c r="AF755" s="9" t="n"/>
      <c r="AG755" s="9" t="n"/>
      <c r="AH755" s="9" t="n"/>
      <c r="AI755" s="9" t="n"/>
      <c r="AJ755" s="9" t="n"/>
      <c r="AK755" s="9" t="n"/>
      <c r="AL755" s="9" t="n"/>
      <c r="AM755" s="10" t="n"/>
    </row>
    <row r="756" ht="12.75" customHeight="1" s="562">
      <c r="E756" s="55" t="n"/>
      <c r="N756" s="10" t="n"/>
      <c r="O756" s="6" t="n"/>
      <c r="T756" s="6" t="n"/>
      <c r="Z756" s="6" t="n"/>
      <c r="AB756" s="9" t="n"/>
      <c r="AC756" s="9" t="n"/>
      <c r="AD756" s="9" t="n"/>
      <c r="AE756" s="9" t="n"/>
      <c r="AF756" s="9" t="n"/>
      <c r="AG756" s="9" t="n"/>
      <c r="AH756" s="9" t="n"/>
      <c r="AI756" s="9" t="n"/>
      <c r="AJ756" s="9" t="n"/>
      <c r="AK756" s="9" t="n"/>
      <c r="AL756" s="9" t="n"/>
      <c r="AM756" s="10" t="n"/>
    </row>
    <row r="757" ht="12.75" customHeight="1" s="562">
      <c r="E757" s="55" t="n"/>
      <c r="N757" s="10" t="n"/>
      <c r="O757" s="6" t="n"/>
      <c r="T757" s="6" t="n"/>
      <c r="Z757" s="6" t="n"/>
      <c r="AB757" s="9" t="n"/>
      <c r="AC757" s="9" t="n"/>
      <c r="AD757" s="9" t="n"/>
      <c r="AE757" s="9" t="n"/>
      <c r="AF757" s="9" t="n"/>
      <c r="AG757" s="9" t="n"/>
      <c r="AH757" s="9" t="n"/>
      <c r="AI757" s="9" t="n"/>
      <c r="AJ757" s="9" t="n"/>
      <c r="AK757" s="9" t="n"/>
      <c r="AL757" s="9" t="n"/>
      <c r="AM757" s="10" t="n"/>
    </row>
    <row r="758" ht="12.75" customHeight="1" s="562">
      <c r="E758" s="55" t="n"/>
      <c r="N758" s="10" t="n"/>
      <c r="O758" s="6" t="n"/>
      <c r="T758" s="6" t="n"/>
      <c r="Z758" s="6" t="n"/>
      <c r="AB758" s="9" t="n"/>
      <c r="AC758" s="9" t="n"/>
      <c r="AD758" s="9" t="n"/>
      <c r="AE758" s="9" t="n"/>
      <c r="AF758" s="9" t="n"/>
      <c r="AG758" s="9" t="n"/>
      <c r="AH758" s="9" t="n"/>
      <c r="AI758" s="9" t="n"/>
      <c r="AJ758" s="9" t="n"/>
      <c r="AK758" s="9" t="n"/>
      <c r="AL758" s="9" t="n"/>
      <c r="AM758" s="10" t="n"/>
    </row>
    <row r="759" ht="12.75" customHeight="1" s="562">
      <c r="E759" s="55" t="n"/>
      <c r="N759" s="10" t="n"/>
      <c r="O759" s="6" t="n"/>
      <c r="T759" s="6" t="n"/>
      <c r="Z759" s="6" t="n"/>
      <c r="AB759" s="9" t="n"/>
      <c r="AC759" s="9" t="n"/>
      <c r="AD759" s="9" t="n"/>
      <c r="AE759" s="9" t="n"/>
      <c r="AF759" s="9" t="n"/>
      <c r="AG759" s="9" t="n"/>
      <c r="AH759" s="9" t="n"/>
      <c r="AI759" s="9" t="n"/>
      <c r="AJ759" s="9" t="n"/>
      <c r="AK759" s="9" t="n"/>
      <c r="AL759" s="9" t="n"/>
      <c r="AM759" s="10" t="n"/>
    </row>
    <row r="760" ht="12.75" customHeight="1" s="562">
      <c r="E760" s="55" t="n"/>
      <c r="N760" s="10" t="n"/>
      <c r="O760" s="6" t="n"/>
      <c r="T760" s="6" t="n"/>
      <c r="Z760" s="6" t="n"/>
      <c r="AB760" s="9" t="n"/>
      <c r="AC760" s="9" t="n"/>
      <c r="AD760" s="9" t="n"/>
      <c r="AE760" s="9" t="n"/>
      <c r="AF760" s="9" t="n"/>
      <c r="AG760" s="9" t="n"/>
      <c r="AH760" s="9" t="n"/>
      <c r="AI760" s="9" t="n"/>
      <c r="AJ760" s="9" t="n"/>
      <c r="AK760" s="9" t="n"/>
      <c r="AL760" s="9" t="n"/>
      <c r="AM760" s="10" t="n"/>
    </row>
    <row r="761" ht="12.75" customHeight="1" s="562">
      <c r="E761" s="55" t="n"/>
      <c r="N761" s="10" t="n"/>
      <c r="O761" s="6" t="n"/>
      <c r="T761" s="6" t="n"/>
      <c r="Z761" s="6" t="n"/>
      <c r="AB761" s="9" t="n"/>
      <c r="AC761" s="9" t="n"/>
      <c r="AD761" s="9" t="n"/>
      <c r="AE761" s="9" t="n"/>
      <c r="AF761" s="9" t="n"/>
      <c r="AG761" s="9" t="n"/>
      <c r="AH761" s="9" t="n"/>
      <c r="AI761" s="9" t="n"/>
      <c r="AJ761" s="9" t="n"/>
      <c r="AK761" s="9" t="n"/>
      <c r="AL761" s="9" t="n"/>
      <c r="AM761" s="10" t="n"/>
    </row>
    <row r="762" ht="12.75" customHeight="1" s="562">
      <c r="E762" s="55" t="n"/>
      <c r="N762" s="10" t="n"/>
      <c r="O762" s="6" t="n"/>
      <c r="T762" s="6" t="n"/>
      <c r="Z762" s="6" t="n"/>
      <c r="AB762" s="9" t="n"/>
      <c r="AC762" s="9" t="n"/>
      <c r="AD762" s="9" t="n"/>
      <c r="AE762" s="9" t="n"/>
      <c r="AF762" s="9" t="n"/>
      <c r="AG762" s="9" t="n"/>
      <c r="AH762" s="9" t="n"/>
      <c r="AI762" s="9" t="n"/>
      <c r="AJ762" s="9" t="n"/>
      <c r="AK762" s="9" t="n"/>
      <c r="AL762" s="9" t="n"/>
      <c r="AM762" s="10" t="n"/>
    </row>
    <row r="763" ht="12.75" customHeight="1" s="562">
      <c r="E763" s="55" t="n"/>
      <c r="N763" s="10" t="n"/>
      <c r="O763" s="6" t="n"/>
      <c r="T763" s="6" t="n"/>
      <c r="Z763" s="6" t="n"/>
      <c r="AB763" s="9" t="n"/>
      <c r="AC763" s="9" t="n"/>
      <c r="AD763" s="9" t="n"/>
      <c r="AE763" s="9" t="n"/>
      <c r="AF763" s="9" t="n"/>
      <c r="AG763" s="9" t="n"/>
      <c r="AH763" s="9" t="n"/>
      <c r="AI763" s="9" t="n"/>
      <c r="AJ763" s="9" t="n"/>
      <c r="AK763" s="9" t="n"/>
      <c r="AL763" s="9" t="n"/>
      <c r="AM763" s="10" t="n"/>
    </row>
    <row r="764" ht="12.75" customHeight="1" s="562">
      <c r="E764" s="55" t="n"/>
      <c r="N764" s="10" t="n"/>
      <c r="O764" s="6" t="n"/>
      <c r="T764" s="6" t="n"/>
      <c r="Z764" s="6" t="n"/>
      <c r="AB764" s="9" t="n"/>
      <c r="AC764" s="9" t="n"/>
      <c r="AD764" s="9" t="n"/>
      <c r="AE764" s="9" t="n"/>
      <c r="AF764" s="9" t="n"/>
      <c r="AG764" s="9" t="n"/>
      <c r="AH764" s="9" t="n"/>
      <c r="AI764" s="9" t="n"/>
      <c r="AJ764" s="9" t="n"/>
      <c r="AK764" s="9" t="n"/>
      <c r="AL764" s="9" t="n"/>
      <c r="AM764" s="10" t="n"/>
    </row>
    <row r="765" ht="12.75" customHeight="1" s="562">
      <c r="E765" s="55" t="n"/>
      <c r="N765" s="10" t="n"/>
      <c r="O765" s="6" t="n"/>
      <c r="T765" s="6" t="n"/>
      <c r="Z765" s="6" t="n"/>
      <c r="AB765" s="9" t="n"/>
      <c r="AC765" s="9" t="n"/>
      <c r="AD765" s="9" t="n"/>
      <c r="AE765" s="9" t="n"/>
      <c r="AF765" s="9" t="n"/>
      <c r="AG765" s="9" t="n"/>
      <c r="AH765" s="9" t="n"/>
      <c r="AI765" s="9" t="n"/>
      <c r="AJ765" s="9" t="n"/>
      <c r="AK765" s="9" t="n"/>
      <c r="AL765" s="9" t="n"/>
      <c r="AM765" s="10" t="n"/>
    </row>
    <row r="766" ht="12.75" customHeight="1" s="562">
      <c r="E766" s="55" t="n"/>
      <c r="N766" s="10" t="n"/>
      <c r="O766" s="6" t="n"/>
      <c r="T766" s="6" t="n"/>
      <c r="Z766" s="6" t="n"/>
      <c r="AB766" s="9" t="n"/>
      <c r="AC766" s="9" t="n"/>
      <c r="AD766" s="9" t="n"/>
      <c r="AE766" s="9" t="n"/>
      <c r="AF766" s="9" t="n"/>
      <c r="AG766" s="9" t="n"/>
      <c r="AH766" s="9" t="n"/>
      <c r="AI766" s="9" t="n"/>
      <c r="AJ766" s="9" t="n"/>
      <c r="AK766" s="9" t="n"/>
      <c r="AL766" s="9" t="n"/>
      <c r="AM766" s="10" t="n"/>
    </row>
    <row r="767" ht="12.75" customHeight="1" s="562">
      <c r="E767" s="55" t="n"/>
      <c r="N767" s="10" t="n"/>
      <c r="O767" s="6" t="n"/>
      <c r="T767" s="6" t="n"/>
      <c r="Z767" s="6" t="n"/>
      <c r="AB767" s="9" t="n"/>
      <c r="AC767" s="9" t="n"/>
      <c r="AD767" s="9" t="n"/>
      <c r="AE767" s="9" t="n"/>
      <c r="AF767" s="9" t="n"/>
      <c r="AG767" s="9" t="n"/>
      <c r="AH767" s="9" t="n"/>
      <c r="AI767" s="9" t="n"/>
      <c r="AJ767" s="9" t="n"/>
      <c r="AK767" s="9" t="n"/>
      <c r="AL767" s="9" t="n"/>
      <c r="AM767" s="10" t="n"/>
    </row>
    <row r="768" ht="12.75" customHeight="1" s="562">
      <c r="E768" s="55" t="n"/>
      <c r="N768" s="10" t="n"/>
      <c r="O768" s="6" t="n"/>
      <c r="T768" s="6" t="n"/>
      <c r="Z768" s="6" t="n"/>
      <c r="AB768" s="9" t="n"/>
      <c r="AC768" s="9" t="n"/>
      <c r="AD768" s="9" t="n"/>
      <c r="AE768" s="9" t="n"/>
      <c r="AF768" s="9" t="n"/>
      <c r="AG768" s="9" t="n"/>
      <c r="AH768" s="9" t="n"/>
      <c r="AI768" s="9" t="n"/>
      <c r="AJ768" s="9" t="n"/>
      <c r="AK768" s="9" t="n"/>
      <c r="AL768" s="9" t="n"/>
      <c r="AM768" s="10" t="n"/>
    </row>
    <row r="769" ht="12.75" customHeight="1" s="562">
      <c r="E769" s="55" t="n"/>
      <c r="N769" s="10" t="n"/>
      <c r="O769" s="6" t="n"/>
      <c r="T769" s="6" t="n"/>
      <c r="Z769" s="6" t="n"/>
      <c r="AB769" s="9" t="n"/>
      <c r="AC769" s="9" t="n"/>
      <c r="AD769" s="9" t="n"/>
      <c r="AE769" s="9" t="n"/>
      <c r="AF769" s="9" t="n"/>
      <c r="AG769" s="9" t="n"/>
      <c r="AH769" s="9" t="n"/>
      <c r="AI769" s="9" t="n"/>
      <c r="AJ769" s="9" t="n"/>
      <c r="AK769" s="9" t="n"/>
      <c r="AL769" s="9" t="n"/>
      <c r="AM769" s="10" t="n"/>
    </row>
    <row r="770" ht="12.75" customHeight="1" s="562">
      <c r="E770" s="55" t="n"/>
      <c r="N770" s="10" t="n"/>
      <c r="O770" s="6" t="n"/>
      <c r="T770" s="6" t="n"/>
      <c r="Z770" s="6" t="n"/>
      <c r="AB770" s="9" t="n"/>
      <c r="AC770" s="9" t="n"/>
      <c r="AD770" s="9" t="n"/>
      <c r="AE770" s="9" t="n"/>
      <c r="AF770" s="9" t="n"/>
      <c r="AG770" s="9" t="n"/>
      <c r="AH770" s="9" t="n"/>
      <c r="AI770" s="9" t="n"/>
      <c r="AJ770" s="9" t="n"/>
      <c r="AK770" s="9" t="n"/>
      <c r="AL770" s="9" t="n"/>
      <c r="AM770" s="10" t="n"/>
    </row>
    <row r="771" ht="12.75" customHeight="1" s="562">
      <c r="E771" s="55" t="n"/>
      <c r="N771" s="10" t="n"/>
      <c r="O771" s="6" t="n"/>
      <c r="T771" s="6" t="n"/>
      <c r="Z771" s="6" t="n"/>
      <c r="AB771" s="9" t="n"/>
      <c r="AC771" s="9" t="n"/>
      <c r="AD771" s="9" t="n"/>
      <c r="AE771" s="9" t="n"/>
      <c r="AF771" s="9" t="n"/>
      <c r="AG771" s="9" t="n"/>
      <c r="AH771" s="9" t="n"/>
      <c r="AI771" s="9" t="n"/>
      <c r="AJ771" s="9" t="n"/>
      <c r="AK771" s="9" t="n"/>
      <c r="AL771" s="9" t="n"/>
      <c r="AM771" s="10" t="n"/>
    </row>
    <row r="772" ht="12.75" customHeight="1" s="562">
      <c r="E772" s="55" t="n"/>
      <c r="N772" s="10" t="n"/>
      <c r="O772" s="6" t="n"/>
      <c r="T772" s="6" t="n"/>
      <c r="Z772" s="6" t="n"/>
      <c r="AB772" s="9" t="n"/>
      <c r="AC772" s="9" t="n"/>
      <c r="AD772" s="9" t="n"/>
      <c r="AE772" s="9" t="n"/>
      <c r="AF772" s="9" t="n"/>
      <c r="AG772" s="9" t="n"/>
      <c r="AH772" s="9" t="n"/>
      <c r="AI772" s="9" t="n"/>
      <c r="AJ772" s="9" t="n"/>
      <c r="AK772" s="9" t="n"/>
      <c r="AL772" s="9" t="n"/>
      <c r="AM772" s="10" t="n"/>
    </row>
    <row r="773" ht="12.75" customHeight="1" s="562">
      <c r="E773" s="55" t="n"/>
      <c r="N773" s="10" t="n"/>
      <c r="O773" s="6" t="n"/>
      <c r="T773" s="6" t="n"/>
      <c r="Z773" s="6" t="n"/>
      <c r="AB773" s="9" t="n"/>
      <c r="AC773" s="9" t="n"/>
      <c r="AD773" s="9" t="n"/>
      <c r="AE773" s="9" t="n"/>
      <c r="AF773" s="9" t="n"/>
      <c r="AG773" s="9" t="n"/>
      <c r="AH773" s="9" t="n"/>
      <c r="AI773" s="9" t="n"/>
      <c r="AJ773" s="9" t="n"/>
      <c r="AK773" s="9" t="n"/>
      <c r="AL773" s="9" t="n"/>
      <c r="AM773" s="10" t="n"/>
    </row>
    <row r="774" ht="12.75" customHeight="1" s="562">
      <c r="E774" s="55" t="n"/>
      <c r="N774" s="10" t="n"/>
      <c r="O774" s="6" t="n"/>
      <c r="T774" s="6" t="n"/>
      <c r="Z774" s="6" t="n"/>
      <c r="AB774" s="9" t="n"/>
      <c r="AC774" s="9" t="n"/>
      <c r="AD774" s="9" t="n"/>
      <c r="AE774" s="9" t="n"/>
      <c r="AF774" s="9" t="n"/>
      <c r="AG774" s="9" t="n"/>
      <c r="AH774" s="9" t="n"/>
      <c r="AI774" s="9" t="n"/>
      <c r="AJ774" s="9" t="n"/>
      <c r="AK774" s="9" t="n"/>
      <c r="AL774" s="9" t="n"/>
      <c r="AM774" s="10" t="n"/>
    </row>
    <row r="775" ht="12.75" customHeight="1" s="562">
      <c r="E775" s="55" t="n"/>
      <c r="N775" s="10" t="n"/>
      <c r="O775" s="6" t="n"/>
      <c r="T775" s="6" t="n"/>
      <c r="Z775" s="6" t="n"/>
      <c r="AB775" s="9" t="n"/>
      <c r="AC775" s="9" t="n"/>
      <c r="AD775" s="9" t="n"/>
      <c r="AE775" s="9" t="n"/>
      <c r="AF775" s="9" t="n"/>
      <c r="AG775" s="9" t="n"/>
      <c r="AH775" s="9" t="n"/>
      <c r="AI775" s="9" t="n"/>
      <c r="AJ775" s="9" t="n"/>
      <c r="AK775" s="9" t="n"/>
      <c r="AL775" s="9" t="n"/>
      <c r="AM775" s="10" t="n"/>
    </row>
    <row r="776" ht="12.75" customHeight="1" s="562">
      <c r="E776" s="55" t="n"/>
      <c r="N776" s="10" t="n"/>
      <c r="O776" s="6" t="n"/>
      <c r="T776" s="6" t="n"/>
      <c r="Z776" s="6" t="n"/>
      <c r="AB776" s="9" t="n"/>
      <c r="AC776" s="9" t="n"/>
      <c r="AD776" s="9" t="n"/>
      <c r="AE776" s="9" t="n"/>
      <c r="AF776" s="9" t="n"/>
      <c r="AG776" s="9" t="n"/>
      <c r="AH776" s="9" t="n"/>
      <c r="AI776" s="9" t="n"/>
      <c r="AJ776" s="9" t="n"/>
      <c r="AK776" s="9" t="n"/>
      <c r="AL776" s="9" t="n"/>
      <c r="AM776" s="10" t="n"/>
    </row>
    <row r="777" ht="12.75" customHeight="1" s="562">
      <c r="E777" s="55" t="n"/>
      <c r="N777" s="10" t="n"/>
      <c r="O777" s="6" t="n"/>
      <c r="T777" s="6" t="n"/>
      <c r="Z777" s="6" t="n"/>
      <c r="AB777" s="9" t="n"/>
      <c r="AC777" s="9" t="n"/>
      <c r="AD777" s="9" t="n"/>
      <c r="AE777" s="9" t="n"/>
      <c r="AF777" s="9" t="n"/>
      <c r="AG777" s="9" t="n"/>
      <c r="AH777" s="9" t="n"/>
      <c r="AI777" s="9" t="n"/>
      <c r="AJ777" s="9" t="n"/>
      <c r="AK777" s="9" t="n"/>
      <c r="AL777" s="9" t="n"/>
      <c r="AM777" s="10" t="n"/>
    </row>
    <row r="778" ht="12.75" customHeight="1" s="562">
      <c r="E778" s="55" t="n"/>
      <c r="N778" s="10" t="n"/>
      <c r="O778" s="6" t="n"/>
      <c r="T778" s="6" t="n"/>
      <c r="Z778" s="6" t="n"/>
      <c r="AB778" s="9" t="n"/>
      <c r="AC778" s="9" t="n"/>
      <c r="AD778" s="9" t="n"/>
      <c r="AE778" s="9" t="n"/>
      <c r="AF778" s="9" t="n"/>
      <c r="AG778" s="9" t="n"/>
      <c r="AH778" s="9" t="n"/>
      <c r="AI778" s="9" t="n"/>
      <c r="AJ778" s="9" t="n"/>
      <c r="AK778" s="9" t="n"/>
      <c r="AL778" s="9" t="n"/>
      <c r="AM778" s="10" t="n"/>
    </row>
    <row r="779" ht="12.75" customHeight="1" s="562">
      <c r="E779" s="55" t="n"/>
      <c r="N779" s="10" t="n"/>
      <c r="O779" s="6" t="n"/>
      <c r="T779" s="6" t="n"/>
      <c r="Z779" s="6" t="n"/>
      <c r="AB779" s="9" t="n"/>
      <c r="AC779" s="9" t="n"/>
      <c r="AD779" s="9" t="n"/>
      <c r="AE779" s="9" t="n"/>
      <c r="AF779" s="9" t="n"/>
      <c r="AG779" s="9" t="n"/>
      <c r="AH779" s="9" t="n"/>
      <c r="AI779" s="9" t="n"/>
      <c r="AJ779" s="9" t="n"/>
      <c r="AK779" s="9" t="n"/>
      <c r="AL779" s="9" t="n"/>
      <c r="AM779" s="10" t="n"/>
    </row>
    <row r="780" ht="12.75" customHeight="1" s="562">
      <c r="E780" s="55" t="n"/>
      <c r="N780" s="10" t="n"/>
      <c r="O780" s="6" t="n"/>
      <c r="T780" s="6" t="n"/>
      <c r="Z780" s="6" t="n"/>
      <c r="AB780" s="9" t="n"/>
      <c r="AC780" s="9" t="n"/>
      <c r="AD780" s="9" t="n"/>
      <c r="AE780" s="9" t="n"/>
      <c r="AF780" s="9" t="n"/>
      <c r="AG780" s="9" t="n"/>
      <c r="AH780" s="9" t="n"/>
      <c r="AI780" s="9" t="n"/>
      <c r="AJ780" s="9" t="n"/>
      <c r="AK780" s="9" t="n"/>
      <c r="AL780" s="9" t="n"/>
      <c r="AM780" s="10" t="n"/>
    </row>
    <row r="781" ht="12.75" customHeight="1" s="562">
      <c r="E781" s="55" t="n"/>
      <c r="N781" s="10" t="n"/>
      <c r="O781" s="6" t="n"/>
      <c r="T781" s="6" t="n"/>
      <c r="Z781" s="6" t="n"/>
      <c r="AB781" s="9" t="n"/>
      <c r="AC781" s="9" t="n"/>
      <c r="AD781" s="9" t="n"/>
      <c r="AE781" s="9" t="n"/>
      <c r="AF781" s="9" t="n"/>
      <c r="AG781" s="9" t="n"/>
      <c r="AH781" s="9" t="n"/>
      <c r="AI781" s="9" t="n"/>
      <c r="AJ781" s="9" t="n"/>
      <c r="AK781" s="9" t="n"/>
      <c r="AL781" s="9" t="n"/>
      <c r="AM781" s="10" t="n"/>
    </row>
    <row r="782" ht="12.75" customHeight="1" s="562">
      <c r="E782" s="55" t="n"/>
      <c r="N782" s="10" t="n"/>
      <c r="O782" s="6" t="n"/>
      <c r="T782" s="6" t="n"/>
      <c r="Z782" s="6" t="n"/>
      <c r="AB782" s="9" t="n"/>
      <c r="AC782" s="9" t="n"/>
      <c r="AD782" s="9" t="n"/>
      <c r="AE782" s="9" t="n"/>
      <c r="AF782" s="9" t="n"/>
      <c r="AG782" s="9" t="n"/>
      <c r="AH782" s="9" t="n"/>
      <c r="AI782" s="9" t="n"/>
      <c r="AJ782" s="9" t="n"/>
      <c r="AK782" s="9" t="n"/>
      <c r="AL782" s="9" t="n"/>
      <c r="AM782" s="10" t="n"/>
    </row>
    <row r="783" ht="12.75" customHeight="1" s="562">
      <c r="E783" s="55" t="n"/>
      <c r="N783" s="10" t="n"/>
      <c r="O783" s="6" t="n"/>
      <c r="T783" s="6" t="n"/>
      <c r="Z783" s="6" t="n"/>
      <c r="AB783" s="9" t="n"/>
      <c r="AC783" s="9" t="n"/>
      <c r="AD783" s="9" t="n"/>
      <c r="AE783" s="9" t="n"/>
      <c r="AF783" s="9" t="n"/>
      <c r="AG783" s="9" t="n"/>
      <c r="AH783" s="9" t="n"/>
      <c r="AI783" s="9" t="n"/>
      <c r="AJ783" s="9" t="n"/>
      <c r="AK783" s="9" t="n"/>
      <c r="AL783" s="9" t="n"/>
      <c r="AM783" s="10" t="n"/>
    </row>
    <row r="784" ht="12.75" customHeight="1" s="562">
      <c r="E784" s="55" t="n"/>
      <c r="N784" s="10" t="n"/>
      <c r="O784" s="6" t="n"/>
      <c r="T784" s="6" t="n"/>
      <c r="Z784" s="6" t="n"/>
      <c r="AB784" s="9" t="n"/>
      <c r="AC784" s="9" t="n"/>
      <c r="AD784" s="9" t="n"/>
      <c r="AE784" s="9" t="n"/>
      <c r="AF784" s="9" t="n"/>
      <c r="AG784" s="9" t="n"/>
      <c r="AH784" s="9" t="n"/>
      <c r="AI784" s="9" t="n"/>
      <c r="AJ784" s="9" t="n"/>
      <c r="AK784" s="9" t="n"/>
      <c r="AL784" s="9" t="n"/>
      <c r="AM784" s="10" t="n"/>
    </row>
    <row r="785" ht="12.75" customHeight="1" s="562">
      <c r="E785" s="55" t="n"/>
      <c r="N785" s="10" t="n"/>
      <c r="O785" s="6" t="n"/>
      <c r="T785" s="6" t="n"/>
      <c r="Z785" s="6" t="n"/>
      <c r="AB785" s="9" t="n"/>
      <c r="AC785" s="9" t="n"/>
      <c r="AD785" s="9" t="n"/>
      <c r="AE785" s="9" t="n"/>
      <c r="AF785" s="9" t="n"/>
      <c r="AG785" s="9" t="n"/>
      <c r="AH785" s="9" t="n"/>
      <c r="AI785" s="9" t="n"/>
      <c r="AJ785" s="9" t="n"/>
      <c r="AK785" s="9" t="n"/>
      <c r="AL785" s="9" t="n"/>
      <c r="AM785" s="10" t="n"/>
    </row>
    <row r="786" ht="12.75" customHeight="1" s="562">
      <c r="E786" s="55" t="n"/>
      <c r="N786" s="10" t="n"/>
      <c r="O786" s="6" t="n"/>
      <c r="T786" s="6" t="n"/>
      <c r="Z786" s="6" t="n"/>
      <c r="AB786" s="9" t="n"/>
      <c r="AC786" s="9" t="n"/>
      <c r="AD786" s="9" t="n"/>
      <c r="AE786" s="9" t="n"/>
      <c r="AF786" s="9" t="n"/>
      <c r="AG786" s="9" t="n"/>
      <c r="AH786" s="9" t="n"/>
      <c r="AI786" s="9" t="n"/>
      <c r="AJ786" s="9" t="n"/>
      <c r="AK786" s="9" t="n"/>
      <c r="AL786" s="9" t="n"/>
      <c r="AM786" s="10" t="n"/>
    </row>
    <row r="787" ht="12.75" customHeight="1" s="562">
      <c r="E787" s="55" t="n"/>
      <c r="N787" s="10" t="n"/>
      <c r="O787" s="6" t="n"/>
      <c r="T787" s="6" t="n"/>
      <c r="Z787" s="6" t="n"/>
      <c r="AB787" s="9" t="n"/>
      <c r="AC787" s="9" t="n"/>
      <c r="AD787" s="9" t="n"/>
      <c r="AE787" s="9" t="n"/>
      <c r="AF787" s="9" t="n"/>
      <c r="AG787" s="9" t="n"/>
      <c r="AH787" s="9" t="n"/>
      <c r="AI787" s="9" t="n"/>
      <c r="AJ787" s="9" t="n"/>
      <c r="AK787" s="9" t="n"/>
      <c r="AL787" s="9" t="n"/>
      <c r="AM787" s="10" t="n"/>
    </row>
    <row r="788" ht="12.75" customHeight="1" s="562">
      <c r="E788" s="55" t="n"/>
      <c r="N788" s="10" t="n"/>
      <c r="O788" s="6" t="n"/>
      <c r="T788" s="6" t="n"/>
      <c r="Z788" s="6" t="n"/>
      <c r="AB788" s="9" t="n"/>
      <c r="AC788" s="9" t="n"/>
      <c r="AD788" s="9" t="n"/>
      <c r="AE788" s="9" t="n"/>
      <c r="AF788" s="9" t="n"/>
      <c r="AG788" s="9" t="n"/>
      <c r="AH788" s="9" t="n"/>
      <c r="AI788" s="9" t="n"/>
      <c r="AJ788" s="9" t="n"/>
      <c r="AK788" s="9" t="n"/>
      <c r="AL788" s="9" t="n"/>
      <c r="AM788" s="10" t="n"/>
    </row>
    <row r="789" ht="12.75" customHeight="1" s="562">
      <c r="E789" s="55" t="n"/>
      <c r="N789" s="10" t="n"/>
      <c r="O789" s="6" t="n"/>
      <c r="T789" s="6" t="n"/>
      <c r="Z789" s="6" t="n"/>
      <c r="AB789" s="9" t="n"/>
      <c r="AC789" s="9" t="n"/>
      <c r="AD789" s="9" t="n"/>
      <c r="AE789" s="9" t="n"/>
      <c r="AF789" s="9" t="n"/>
      <c r="AG789" s="9" t="n"/>
      <c r="AH789" s="9" t="n"/>
      <c r="AI789" s="9" t="n"/>
      <c r="AJ789" s="9" t="n"/>
      <c r="AK789" s="9" t="n"/>
      <c r="AL789" s="9" t="n"/>
      <c r="AM789" s="10" t="n"/>
    </row>
    <row r="790" ht="12.75" customHeight="1" s="562">
      <c r="E790" s="55" t="n"/>
      <c r="N790" s="10" t="n"/>
      <c r="O790" s="6" t="n"/>
      <c r="T790" s="6" t="n"/>
      <c r="Z790" s="6" t="n"/>
      <c r="AB790" s="9" t="n"/>
      <c r="AC790" s="9" t="n"/>
      <c r="AD790" s="9" t="n"/>
      <c r="AE790" s="9" t="n"/>
      <c r="AF790" s="9" t="n"/>
      <c r="AG790" s="9" t="n"/>
      <c r="AH790" s="9" t="n"/>
      <c r="AI790" s="9" t="n"/>
      <c r="AJ790" s="9" t="n"/>
      <c r="AK790" s="9" t="n"/>
      <c r="AL790" s="9" t="n"/>
      <c r="AM790" s="10" t="n"/>
    </row>
    <row r="791" ht="12.75" customHeight="1" s="562">
      <c r="E791" s="55" t="n"/>
      <c r="N791" s="10" t="n"/>
      <c r="O791" s="6" t="n"/>
      <c r="T791" s="6" t="n"/>
      <c r="Z791" s="6" t="n"/>
      <c r="AB791" s="9" t="n"/>
      <c r="AC791" s="9" t="n"/>
      <c r="AD791" s="9" t="n"/>
      <c r="AE791" s="9" t="n"/>
      <c r="AF791" s="9" t="n"/>
      <c r="AG791" s="9" t="n"/>
      <c r="AH791" s="9" t="n"/>
      <c r="AI791" s="9" t="n"/>
      <c r="AJ791" s="9" t="n"/>
      <c r="AK791" s="9" t="n"/>
      <c r="AL791" s="9" t="n"/>
      <c r="AM791" s="10" t="n"/>
    </row>
    <row r="792" ht="12.75" customHeight="1" s="562">
      <c r="E792" s="55" t="n"/>
      <c r="N792" s="10" t="n"/>
      <c r="O792" s="6" t="n"/>
      <c r="T792" s="6" t="n"/>
      <c r="Z792" s="6" t="n"/>
      <c r="AB792" s="9" t="n"/>
      <c r="AC792" s="9" t="n"/>
      <c r="AD792" s="9" t="n"/>
      <c r="AE792" s="9" t="n"/>
      <c r="AF792" s="9" t="n"/>
      <c r="AG792" s="9" t="n"/>
      <c r="AH792" s="9" t="n"/>
      <c r="AI792" s="9" t="n"/>
      <c r="AJ792" s="9" t="n"/>
      <c r="AK792" s="9" t="n"/>
      <c r="AL792" s="9" t="n"/>
      <c r="AM792" s="10" t="n"/>
    </row>
    <row r="793" ht="12.75" customHeight="1" s="562">
      <c r="E793" s="55" t="n"/>
      <c r="N793" s="10" t="n"/>
      <c r="O793" s="6" t="n"/>
      <c r="T793" s="6" t="n"/>
      <c r="Z793" s="6" t="n"/>
      <c r="AB793" s="9" t="n"/>
      <c r="AC793" s="9" t="n"/>
      <c r="AD793" s="9" t="n"/>
      <c r="AE793" s="9" t="n"/>
      <c r="AF793" s="9" t="n"/>
      <c r="AG793" s="9" t="n"/>
      <c r="AH793" s="9" t="n"/>
      <c r="AI793" s="9" t="n"/>
      <c r="AJ793" s="9" t="n"/>
      <c r="AK793" s="9" t="n"/>
      <c r="AL793" s="9" t="n"/>
      <c r="AM793" s="10" t="n"/>
    </row>
    <row r="794" ht="12.75" customHeight="1" s="562">
      <c r="E794" s="55" t="n"/>
      <c r="N794" s="10" t="n"/>
      <c r="O794" s="6" t="n"/>
      <c r="T794" s="6" t="n"/>
      <c r="Z794" s="6" t="n"/>
      <c r="AB794" s="9" t="n"/>
      <c r="AC794" s="9" t="n"/>
      <c r="AD794" s="9" t="n"/>
      <c r="AE794" s="9" t="n"/>
      <c r="AF794" s="9" t="n"/>
      <c r="AG794" s="9" t="n"/>
      <c r="AH794" s="9" t="n"/>
      <c r="AI794" s="9" t="n"/>
      <c r="AJ794" s="9" t="n"/>
      <c r="AK794" s="9" t="n"/>
      <c r="AL794" s="9" t="n"/>
      <c r="AM794" s="10" t="n"/>
    </row>
    <row r="795" ht="12.75" customHeight="1" s="562">
      <c r="E795" s="55" t="n"/>
      <c r="N795" s="10" t="n"/>
      <c r="O795" s="6" t="n"/>
      <c r="T795" s="6" t="n"/>
      <c r="Z795" s="6" t="n"/>
      <c r="AB795" s="9" t="n"/>
      <c r="AC795" s="9" t="n"/>
      <c r="AD795" s="9" t="n"/>
      <c r="AE795" s="9" t="n"/>
      <c r="AF795" s="9" t="n"/>
      <c r="AG795" s="9" t="n"/>
      <c r="AH795" s="9" t="n"/>
      <c r="AI795" s="9" t="n"/>
      <c r="AJ795" s="9" t="n"/>
      <c r="AK795" s="9" t="n"/>
      <c r="AL795" s="9" t="n"/>
      <c r="AM795" s="10" t="n"/>
    </row>
    <row r="796" ht="12.75" customHeight="1" s="562">
      <c r="E796" s="55" t="n"/>
      <c r="N796" s="10" t="n"/>
      <c r="O796" s="6" t="n"/>
      <c r="T796" s="6" t="n"/>
      <c r="Z796" s="6" t="n"/>
      <c r="AB796" s="9" t="n"/>
      <c r="AC796" s="9" t="n"/>
      <c r="AD796" s="9" t="n"/>
      <c r="AE796" s="9" t="n"/>
      <c r="AF796" s="9" t="n"/>
      <c r="AG796" s="9" t="n"/>
      <c r="AH796" s="9" t="n"/>
      <c r="AI796" s="9" t="n"/>
      <c r="AJ796" s="9" t="n"/>
      <c r="AK796" s="9" t="n"/>
      <c r="AL796" s="9" t="n"/>
      <c r="AM796" s="10" t="n"/>
    </row>
    <row r="797" ht="12.75" customHeight="1" s="562">
      <c r="E797" s="55" t="n"/>
      <c r="N797" s="10" t="n"/>
      <c r="O797" s="6" t="n"/>
      <c r="T797" s="6" t="n"/>
      <c r="Z797" s="6" t="n"/>
      <c r="AB797" s="9" t="n"/>
      <c r="AC797" s="9" t="n"/>
      <c r="AD797" s="9" t="n"/>
      <c r="AE797" s="9" t="n"/>
      <c r="AF797" s="9" t="n"/>
      <c r="AG797" s="9" t="n"/>
      <c r="AH797" s="9" t="n"/>
      <c r="AI797" s="9" t="n"/>
      <c r="AJ797" s="9" t="n"/>
      <c r="AK797" s="9" t="n"/>
      <c r="AL797" s="9" t="n"/>
      <c r="AM797" s="10" t="n"/>
    </row>
    <row r="798" ht="12.75" customHeight="1" s="562">
      <c r="E798" s="55" t="n"/>
      <c r="N798" s="10" t="n"/>
      <c r="O798" s="6" t="n"/>
      <c r="T798" s="6" t="n"/>
      <c r="Z798" s="6" t="n"/>
      <c r="AB798" s="9" t="n"/>
      <c r="AC798" s="9" t="n"/>
      <c r="AD798" s="9" t="n"/>
      <c r="AE798" s="9" t="n"/>
      <c r="AF798" s="9" t="n"/>
      <c r="AG798" s="9" t="n"/>
      <c r="AH798" s="9" t="n"/>
      <c r="AI798" s="9" t="n"/>
      <c r="AJ798" s="9" t="n"/>
      <c r="AK798" s="9" t="n"/>
      <c r="AL798" s="9" t="n"/>
      <c r="AM798" s="10" t="n"/>
    </row>
    <row r="799" ht="12.75" customHeight="1" s="562">
      <c r="E799" s="55" t="n"/>
      <c r="N799" s="10" t="n"/>
      <c r="O799" s="6" t="n"/>
      <c r="T799" s="6" t="n"/>
      <c r="Z799" s="6" t="n"/>
      <c r="AB799" s="9" t="n"/>
      <c r="AC799" s="9" t="n"/>
      <c r="AD799" s="9" t="n"/>
      <c r="AE799" s="9" t="n"/>
      <c r="AF799" s="9" t="n"/>
      <c r="AG799" s="9" t="n"/>
      <c r="AH799" s="9" t="n"/>
      <c r="AI799" s="9" t="n"/>
      <c r="AJ799" s="9" t="n"/>
      <c r="AK799" s="9" t="n"/>
      <c r="AL799" s="9" t="n"/>
      <c r="AM799" s="10" t="n"/>
    </row>
    <row r="800" ht="12.75" customHeight="1" s="562">
      <c r="E800" s="55" t="n"/>
      <c r="N800" s="10" t="n"/>
      <c r="O800" s="6" t="n"/>
      <c r="T800" s="6" t="n"/>
      <c r="Z800" s="6" t="n"/>
      <c r="AB800" s="9" t="n"/>
      <c r="AC800" s="9" t="n"/>
      <c r="AD800" s="9" t="n"/>
      <c r="AE800" s="9" t="n"/>
      <c r="AF800" s="9" t="n"/>
      <c r="AG800" s="9" t="n"/>
      <c r="AH800" s="9" t="n"/>
      <c r="AI800" s="9" t="n"/>
      <c r="AJ800" s="9" t="n"/>
      <c r="AK800" s="9" t="n"/>
      <c r="AL800" s="9" t="n"/>
      <c r="AM800" s="10" t="n"/>
    </row>
    <row r="801" ht="12.75" customHeight="1" s="562">
      <c r="E801" s="55" t="n"/>
      <c r="N801" s="10" t="n"/>
      <c r="O801" s="6" t="n"/>
      <c r="T801" s="6" t="n"/>
      <c r="Z801" s="6" t="n"/>
      <c r="AB801" s="9" t="n"/>
      <c r="AC801" s="9" t="n"/>
      <c r="AD801" s="9" t="n"/>
      <c r="AE801" s="9" t="n"/>
      <c r="AF801" s="9" t="n"/>
      <c r="AG801" s="9" t="n"/>
      <c r="AH801" s="9" t="n"/>
      <c r="AI801" s="9" t="n"/>
      <c r="AJ801" s="9" t="n"/>
      <c r="AK801" s="9" t="n"/>
      <c r="AL801" s="9" t="n"/>
      <c r="AM801" s="10" t="n"/>
    </row>
    <row r="802" ht="12.75" customHeight="1" s="562">
      <c r="E802" s="55" t="n"/>
      <c r="N802" s="10" t="n"/>
      <c r="O802" s="6" t="n"/>
      <c r="T802" s="6" t="n"/>
      <c r="Z802" s="6" t="n"/>
      <c r="AB802" s="9" t="n"/>
      <c r="AC802" s="9" t="n"/>
      <c r="AD802" s="9" t="n"/>
      <c r="AE802" s="9" t="n"/>
      <c r="AF802" s="9" t="n"/>
      <c r="AG802" s="9" t="n"/>
      <c r="AH802" s="9" t="n"/>
      <c r="AI802" s="9" t="n"/>
      <c r="AJ802" s="9" t="n"/>
      <c r="AK802" s="9" t="n"/>
      <c r="AL802" s="9" t="n"/>
      <c r="AM802" s="10" t="n"/>
    </row>
    <row r="803" ht="12.75" customHeight="1" s="562">
      <c r="E803" s="55" t="n"/>
      <c r="N803" s="10" t="n"/>
      <c r="O803" s="6" t="n"/>
      <c r="T803" s="6" t="n"/>
      <c r="Z803" s="6" t="n"/>
      <c r="AB803" s="9" t="n"/>
      <c r="AC803" s="9" t="n"/>
      <c r="AD803" s="9" t="n"/>
      <c r="AE803" s="9" t="n"/>
      <c r="AF803" s="9" t="n"/>
      <c r="AG803" s="9" t="n"/>
      <c r="AH803" s="9" t="n"/>
      <c r="AI803" s="9" t="n"/>
      <c r="AJ803" s="9" t="n"/>
      <c r="AK803" s="9" t="n"/>
      <c r="AL803" s="9" t="n"/>
      <c r="AM803" s="10" t="n"/>
    </row>
    <row r="804" ht="12.75" customHeight="1" s="562">
      <c r="E804" s="55" t="n"/>
      <c r="N804" s="10" t="n"/>
      <c r="O804" s="6" t="n"/>
      <c r="T804" s="6" t="n"/>
      <c r="Z804" s="6" t="n"/>
      <c r="AB804" s="9" t="n"/>
      <c r="AC804" s="9" t="n"/>
      <c r="AD804" s="9" t="n"/>
      <c r="AE804" s="9" t="n"/>
      <c r="AF804" s="9" t="n"/>
      <c r="AG804" s="9" t="n"/>
      <c r="AH804" s="9" t="n"/>
      <c r="AI804" s="9" t="n"/>
      <c r="AJ804" s="9" t="n"/>
      <c r="AK804" s="9" t="n"/>
      <c r="AL804" s="9" t="n"/>
      <c r="AM804" s="10" t="n"/>
    </row>
    <row r="805" ht="12.75" customHeight="1" s="562">
      <c r="E805" s="55" t="n"/>
      <c r="N805" s="10" t="n"/>
      <c r="O805" s="6" t="n"/>
      <c r="T805" s="6" t="n"/>
      <c r="Z805" s="6" t="n"/>
      <c r="AB805" s="9" t="n"/>
      <c r="AC805" s="9" t="n"/>
      <c r="AD805" s="9" t="n"/>
      <c r="AE805" s="9" t="n"/>
      <c r="AF805" s="9" t="n"/>
      <c r="AG805" s="9" t="n"/>
      <c r="AH805" s="9" t="n"/>
      <c r="AI805" s="9" t="n"/>
      <c r="AJ805" s="9" t="n"/>
      <c r="AK805" s="9" t="n"/>
      <c r="AL805" s="9" t="n"/>
      <c r="AM805" s="10" t="n"/>
    </row>
    <row r="806" ht="12.75" customHeight="1" s="562">
      <c r="E806" s="55" t="n"/>
      <c r="N806" s="10" t="n"/>
      <c r="O806" s="6" t="n"/>
      <c r="T806" s="6" t="n"/>
      <c r="Z806" s="6" t="n"/>
      <c r="AB806" s="9" t="n"/>
      <c r="AC806" s="9" t="n"/>
      <c r="AD806" s="9" t="n"/>
      <c r="AE806" s="9" t="n"/>
      <c r="AF806" s="9" t="n"/>
      <c r="AG806" s="9" t="n"/>
      <c r="AH806" s="9" t="n"/>
      <c r="AI806" s="9" t="n"/>
      <c r="AJ806" s="9" t="n"/>
      <c r="AK806" s="9" t="n"/>
      <c r="AL806" s="9" t="n"/>
      <c r="AM806" s="10" t="n"/>
    </row>
    <row r="807" ht="12.75" customHeight="1" s="562">
      <c r="E807" s="55" t="n"/>
      <c r="N807" s="10" t="n"/>
      <c r="O807" s="6" t="n"/>
      <c r="T807" s="6" t="n"/>
      <c r="Z807" s="6" t="n"/>
      <c r="AB807" s="9" t="n"/>
      <c r="AC807" s="9" t="n"/>
      <c r="AD807" s="9" t="n"/>
      <c r="AE807" s="9" t="n"/>
      <c r="AF807" s="9" t="n"/>
      <c r="AG807" s="9" t="n"/>
      <c r="AH807" s="9" t="n"/>
      <c r="AI807" s="9" t="n"/>
      <c r="AJ807" s="9" t="n"/>
      <c r="AK807" s="9" t="n"/>
      <c r="AL807" s="9" t="n"/>
      <c r="AM807" s="10" t="n"/>
    </row>
    <row r="808" ht="12.75" customHeight="1" s="562">
      <c r="E808" s="55" t="n"/>
      <c r="N808" s="10" t="n"/>
      <c r="O808" s="6" t="n"/>
      <c r="T808" s="6" t="n"/>
      <c r="Z808" s="6" t="n"/>
      <c r="AB808" s="9" t="n"/>
      <c r="AC808" s="9" t="n"/>
      <c r="AD808" s="9" t="n"/>
      <c r="AE808" s="9" t="n"/>
      <c r="AF808" s="9" t="n"/>
      <c r="AG808" s="9" t="n"/>
      <c r="AH808" s="9" t="n"/>
      <c r="AI808" s="9" t="n"/>
      <c r="AJ808" s="9" t="n"/>
      <c r="AK808" s="9" t="n"/>
      <c r="AL808" s="9" t="n"/>
      <c r="AM808" s="10" t="n"/>
    </row>
    <row r="809" ht="12.75" customHeight="1" s="562">
      <c r="E809" s="55" t="n"/>
      <c r="N809" s="10" t="n"/>
      <c r="O809" s="6" t="n"/>
      <c r="T809" s="6" t="n"/>
      <c r="Z809" s="6" t="n"/>
      <c r="AB809" s="9" t="n"/>
      <c r="AC809" s="9" t="n"/>
      <c r="AD809" s="9" t="n"/>
      <c r="AE809" s="9" t="n"/>
      <c r="AF809" s="9" t="n"/>
      <c r="AG809" s="9" t="n"/>
      <c r="AH809" s="9" t="n"/>
      <c r="AI809" s="9" t="n"/>
      <c r="AJ809" s="9" t="n"/>
      <c r="AK809" s="9" t="n"/>
      <c r="AL809" s="9" t="n"/>
      <c r="AM809" s="10" t="n"/>
    </row>
    <row r="810" ht="12.75" customHeight="1" s="562">
      <c r="E810" s="55" t="n"/>
      <c r="N810" s="10" t="n"/>
      <c r="O810" s="6" t="n"/>
      <c r="T810" s="6" t="n"/>
      <c r="Z810" s="6" t="n"/>
      <c r="AB810" s="9" t="n"/>
      <c r="AC810" s="9" t="n"/>
      <c r="AD810" s="9" t="n"/>
      <c r="AE810" s="9" t="n"/>
      <c r="AF810" s="9" t="n"/>
      <c r="AG810" s="9" t="n"/>
      <c r="AH810" s="9" t="n"/>
      <c r="AI810" s="9" t="n"/>
      <c r="AJ810" s="9" t="n"/>
      <c r="AK810" s="9" t="n"/>
      <c r="AL810" s="9" t="n"/>
      <c r="AM810" s="10" t="n"/>
    </row>
    <row r="811" ht="12.75" customHeight="1" s="562">
      <c r="E811" s="55" t="n"/>
      <c r="N811" s="10" t="n"/>
      <c r="O811" s="6" t="n"/>
      <c r="T811" s="6" t="n"/>
      <c r="Z811" s="6" t="n"/>
      <c r="AB811" s="9" t="n"/>
      <c r="AC811" s="9" t="n"/>
      <c r="AD811" s="9" t="n"/>
      <c r="AE811" s="9" t="n"/>
      <c r="AF811" s="9" t="n"/>
      <c r="AG811" s="9" t="n"/>
      <c r="AH811" s="9" t="n"/>
      <c r="AI811" s="9" t="n"/>
      <c r="AJ811" s="9" t="n"/>
      <c r="AK811" s="9" t="n"/>
      <c r="AL811" s="9" t="n"/>
      <c r="AM811" s="10" t="n"/>
    </row>
    <row r="812" ht="12.75" customHeight="1" s="562">
      <c r="E812" s="55" t="n"/>
      <c r="N812" s="10" t="n"/>
      <c r="O812" s="6" t="n"/>
      <c r="T812" s="6" t="n"/>
      <c r="Z812" s="6" t="n"/>
      <c r="AB812" s="9" t="n"/>
      <c r="AC812" s="9" t="n"/>
      <c r="AD812" s="9" t="n"/>
      <c r="AE812" s="9" t="n"/>
      <c r="AF812" s="9" t="n"/>
      <c r="AG812" s="9" t="n"/>
      <c r="AH812" s="9" t="n"/>
      <c r="AI812" s="9" t="n"/>
      <c r="AJ812" s="9" t="n"/>
      <c r="AK812" s="9" t="n"/>
      <c r="AL812" s="9" t="n"/>
      <c r="AM812" s="10" t="n"/>
    </row>
    <row r="813" ht="12.75" customHeight="1" s="562">
      <c r="E813" s="55" t="n"/>
      <c r="N813" s="10" t="n"/>
      <c r="O813" s="6" t="n"/>
      <c r="T813" s="6" t="n"/>
      <c r="Z813" s="6" t="n"/>
      <c r="AB813" s="9" t="n"/>
      <c r="AC813" s="9" t="n"/>
      <c r="AD813" s="9" t="n"/>
      <c r="AE813" s="9" t="n"/>
      <c r="AF813" s="9" t="n"/>
      <c r="AG813" s="9" t="n"/>
      <c r="AH813" s="9" t="n"/>
      <c r="AI813" s="9" t="n"/>
      <c r="AJ813" s="9" t="n"/>
      <c r="AK813" s="9" t="n"/>
      <c r="AL813" s="9" t="n"/>
      <c r="AM813" s="10" t="n"/>
    </row>
    <row r="814" ht="12.75" customHeight="1" s="562">
      <c r="E814" s="55" t="n"/>
      <c r="N814" s="10" t="n"/>
      <c r="O814" s="6" t="n"/>
      <c r="T814" s="6" t="n"/>
      <c r="Z814" s="6" t="n"/>
      <c r="AB814" s="9" t="n"/>
      <c r="AC814" s="9" t="n"/>
      <c r="AD814" s="9" t="n"/>
      <c r="AE814" s="9" t="n"/>
      <c r="AF814" s="9" t="n"/>
      <c r="AG814" s="9" t="n"/>
      <c r="AH814" s="9" t="n"/>
      <c r="AI814" s="9" t="n"/>
      <c r="AJ814" s="9" t="n"/>
      <c r="AK814" s="9" t="n"/>
      <c r="AL814" s="9" t="n"/>
      <c r="AM814" s="10" t="n"/>
    </row>
    <row r="815" ht="12.75" customHeight="1" s="562">
      <c r="E815" s="55" t="n"/>
      <c r="N815" s="10" t="n"/>
      <c r="O815" s="6" t="n"/>
      <c r="T815" s="6" t="n"/>
      <c r="Z815" s="6" t="n"/>
      <c r="AB815" s="9" t="n"/>
      <c r="AC815" s="9" t="n"/>
      <c r="AD815" s="9" t="n"/>
      <c r="AE815" s="9" t="n"/>
      <c r="AF815" s="9" t="n"/>
      <c r="AG815" s="9" t="n"/>
      <c r="AH815" s="9" t="n"/>
      <c r="AI815" s="9" t="n"/>
      <c r="AJ815" s="9" t="n"/>
      <c r="AK815" s="9" t="n"/>
      <c r="AL815" s="9" t="n"/>
      <c r="AM815" s="10" t="n"/>
    </row>
    <row r="816" ht="12.75" customHeight="1" s="562">
      <c r="E816" s="55" t="n"/>
      <c r="N816" s="10" t="n"/>
      <c r="O816" s="6" t="n"/>
      <c r="T816" s="6" t="n"/>
      <c r="Z816" s="6" t="n"/>
      <c r="AB816" s="9" t="n"/>
      <c r="AC816" s="9" t="n"/>
      <c r="AD816" s="9" t="n"/>
      <c r="AE816" s="9" t="n"/>
      <c r="AF816" s="9" t="n"/>
      <c r="AG816" s="9" t="n"/>
      <c r="AH816" s="9" t="n"/>
      <c r="AI816" s="9" t="n"/>
      <c r="AJ816" s="9" t="n"/>
      <c r="AK816" s="9" t="n"/>
      <c r="AL816" s="9" t="n"/>
      <c r="AM816" s="10" t="n"/>
    </row>
    <row r="817" ht="12.75" customHeight="1" s="562">
      <c r="E817" s="55" t="n"/>
      <c r="N817" s="10" t="n"/>
      <c r="O817" s="6" t="n"/>
      <c r="T817" s="6" t="n"/>
      <c r="Z817" s="6" t="n"/>
      <c r="AB817" s="9" t="n"/>
      <c r="AC817" s="9" t="n"/>
      <c r="AD817" s="9" t="n"/>
      <c r="AE817" s="9" t="n"/>
      <c r="AF817" s="9" t="n"/>
      <c r="AG817" s="9" t="n"/>
      <c r="AH817" s="9" t="n"/>
      <c r="AI817" s="9" t="n"/>
      <c r="AJ817" s="9" t="n"/>
      <c r="AK817" s="9" t="n"/>
      <c r="AL817" s="9" t="n"/>
      <c r="AM817" s="10" t="n"/>
    </row>
    <row r="818" ht="12.75" customHeight="1" s="562">
      <c r="E818" s="55" t="n"/>
      <c r="N818" s="10" t="n"/>
      <c r="O818" s="6" t="n"/>
      <c r="T818" s="6" t="n"/>
      <c r="Z818" s="6" t="n"/>
      <c r="AB818" s="9" t="n"/>
      <c r="AC818" s="9" t="n"/>
      <c r="AD818" s="9" t="n"/>
      <c r="AE818" s="9" t="n"/>
      <c r="AF818" s="9" t="n"/>
      <c r="AG818" s="9" t="n"/>
      <c r="AH818" s="9" t="n"/>
      <c r="AI818" s="9" t="n"/>
      <c r="AJ818" s="9" t="n"/>
      <c r="AK818" s="9" t="n"/>
      <c r="AL818" s="9" t="n"/>
      <c r="AM818" s="10" t="n"/>
    </row>
    <row r="819" ht="12.75" customHeight="1" s="562">
      <c r="E819" s="55" t="n"/>
      <c r="N819" s="10" t="n"/>
      <c r="O819" s="6" t="n"/>
      <c r="T819" s="6" t="n"/>
      <c r="Z819" s="6" t="n"/>
      <c r="AB819" s="9" t="n"/>
      <c r="AC819" s="9" t="n"/>
      <c r="AD819" s="9" t="n"/>
      <c r="AE819" s="9" t="n"/>
      <c r="AF819" s="9" t="n"/>
      <c r="AG819" s="9" t="n"/>
      <c r="AH819" s="9" t="n"/>
      <c r="AI819" s="9" t="n"/>
      <c r="AJ819" s="9" t="n"/>
      <c r="AK819" s="9" t="n"/>
      <c r="AL819" s="9" t="n"/>
      <c r="AM819" s="10" t="n"/>
    </row>
    <row r="820" ht="12.75" customHeight="1" s="562">
      <c r="E820" s="55" t="n"/>
      <c r="N820" s="10" t="n"/>
      <c r="O820" s="6" t="n"/>
      <c r="T820" s="6" t="n"/>
      <c r="Z820" s="6" t="n"/>
      <c r="AB820" s="9" t="n"/>
      <c r="AC820" s="9" t="n"/>
      <c r="AD820" s="9" t="n"/>
      <c r="AE820" s="9" t="n"/>
      <c r="AF820" s="9" t="n"/>
      <c r="AG820" s="9" t="n"/>
      <c r="AH820" s="9" t="n"/>
      <c r="AI820" s="9" t="n"/>
      <c r="AJ820" s="9" t="n"/>
      <c r="AK820" s="9" t="n"/>
      <c r="AL820" s="9" t="n"/>
      <c r="AM820" s="10" t="n"/>
    </row>
    <row r="821" ht="12.75" customHeight="1" s="562">
      <c r="E821" s="55" t="n"/>
      <c r="N821" s="10" t="n"/>
      <c r="O821" s="6" t="n"/>
      <c r="T821" s="6" t="n"/>
      <c r="Z821" s="6" t="n"/>
      <c r="AB821" s="9" t="n"/>
      <c r="AC821" s="9" t="n"/>
      <c r="AD821" s="9" t="n"/>
      <c r="AE821" s="9" t="n"/>
      <c r="AF821" s="9" t="n"/>
      <c r="AG821" s="9" t="n"/>
      <c r="AH821" s="9" t="n"/>
      <c r="AI821" s="9" t="n"/>
      <c r="AJ821" s="9" t="n"/>
      <c r="AK821" s="9" t="n"/>
      <c r="AL821" s="9" t="n"/>
      <c r="AM821" s="10" t="n"/>
    </row>
    <row r="822" ht="12.75" customHeight="1" s="562">
      <c r="E822" s="55" t="n"/>
      <c r="N822" s="10" t="n"/>
      <c r="O822" s="6" t="n"/>
      <c r="T822" s="6" t="n"/>
      <c r="Z822" s="6" t="n"/>
      <c r="AB822" s="9" t="n"/>
      <c r="AC822" s="9" t="n"/>
      <c r="AD822" s="9" t="n"/>
      <c r="AE822" s="9" t="n"/>
      <c r="AF822" s="9" t="n"/>
      <c r="AG822" s="9" t="n"/>
      <c r="AH822" s="9" t="n"/>
      <c r="AI822" s="9" t="n"/>
      <c r="AJ822" s="9" t="n"/>
      <c r="AK822" s="9" t="n"/>
      <c r="AL822" s="9" t="n"/>
      <c r="AM822" s="10" t="n"/>
    </row>
    <row r="823" ht="12.75" customHeight="1" s="562">
      <c r="E823" s="55" t="n"/>
      <c r="N823" s="10" t="n"/>
      <c r="O823" s="6" t="n"/>
      <c r="T823" s="6" t="n"/>
      <c r="Z823" s="6" t="n"/>
      <c r="AB823" s="9" t="n"/>
      <c r="AC823" s="9" t="n"/>
      <c r="AD823" s="9" t="n"/>
      <c r="AE823" s="9" t="n"/>
      <c r="AF823" s="9" t="n"/>
      <c r="AG823" s="9" t="n"/>
      <c r="AH823" s="9" t="n"/>
      <c r="AI823" s="9" t="n"/>
      <c r="AJ823" s="9" t="n"/>
      <c r="AK823" s="9" t="n"/>
      <c r="AL823" s="9" t="n"/>
      <c r="AM823" s="10" t="n"/>
    </row>
    <row r="824" ht="12.75" customHeight="1" s="562">
      <c r="E824" s="55" t="n"/>
      <c r="N824" s="10" t="n"/>
      <c r="O824" s="6" t="n"/>
      <c r="T824" s="6" t="n"/>
      <c r="Z824" s="6" t="n"/>
      <c r="AB824" s="9" t="n"/>
      <c r="AC824" s="9" t="n"/>
      <c r="AD824" s="9" t="n"/>
      <c r="AE824" s="9" t="n"/>
      <c r="AF824" s="9" t="n"/>
      <c r="AG824" s="9" t="n"/>
      <c r="AH824" s="9" t="n"/>
      <c r="AI824" s="9" t="n"/>
      <c r="AJ824" s="9" t="n"/>
      <c r="AK824" s="9" t="n"/>
      <c r="AL824" s="9" t="n"/>
      <c r="AM824" s="10" t="n"/>
    </row>
    <row r="825" ht="12.75" customHeight="1" s="562">
      <c r="E825" s="55" t="n"/>
      <c r="N825" s="10" t="n"/>
      <c r="O825" s="6" t="n"/>
      <c r="T825" s="6" t="n"/>
      <c r="Z825" s="6" t="n"/>
      <c r="AB825" s="9" t="n"/>
      <c r="AC825" s="9" t="n"/>
      <c r="AD825" s="9" t="n"/>
      <c r="AE825" s="9" t="n"/>
      <c r="AF825" s="9" t="n"/>
      <c r="AG825" s="9" t="n"/>
      <c r="AH825" s="9" t="n"/>
      <c r="AI825" s="9" t="n"/>
      <c r="AJ825" s="9" t="n"/>
      <c r="AK825" s="9" t="n"/>
      <c r="AL825" s="9" t="n"/>
      <c r="AM825" s="10" t="n"/>
    </row>
    <row r="826" ht="12.75" customHeight="1" s="562">
      <c r="E826" s="55" t="n"/>
      <c r="N826" s="10" t="n"/>
      <c r="O826" s="6" t="n"/>
      <c r="T826" s="6" t="n"/>
      <c r="Z826" s="6" t="n"/>
      <c r="AB826" s="9" t="n"/>
      <c r="AC826" s="9" t="n"/>
      <c r="AD826" s="9" t="n"/>
      <c r="AE826" s="9" t="n"/>
      <c r="AF826" s="9" t="n"/>
      <c r="AG826" s="9" t="n"/>
      <c r="AH826" s="9" t="n"/>
      <c r="AI826" s="9" t="n"/>
      <c r="AJ826" s="9" t="n"/>
      <c r="AK826" s="9" t="n"/>
      <c r="AL826" s="9" t="n"/>
      <c r="AM826" s="10" t="n"/>
    </row>
    <row r="827" ht="12.75" customHeight="1" s="562">
      <c r="E827" s="55" t="n"/>
      <c r="N827" s="10" t="n"/>
      <c r="O827" s="6" t="n"/>
      <c r="T827" s="6" t="n"/>
      <c r="Z827" s="6" t="n"/>
      <c r="AB827" s="9" t="n"/>
      <c r="AC827" s="9" t="n"/>
      <c r="AD827" s="9" t="n"/>
      <c r="AE827" s="9" t="n"/>
      <c r="AF827" s="9" t="n"/>
      <c r="AG827" s="9" t="n"/>
      <c r="AH827" s="9" t="n"/>
      <c r="AI827" s="9" t="n"/>
      <c r="AJ827" s="9" t="n"/>
      <c r="AK827" s="9" t="n"/>
      <c r="AL827" s="9" t="n"/>
      <c r="AM827" s="10" t="n"/>
    </row>
    <row r="828" ht="12.75" customHeight="1" s="562">
      <c r="E828" s="55" t="n"/>
      <c r="N828" s="10" t="n"/>
      <c r="O828" s="6" t="n"/>
      <c r="T828" s="6" t="n"/>
      <c r="Z828" s="6" t="n"/>
      <c r="AB828" s="9" t="n"/>
      <c r="AC828" s="9" t="n"/>
      <c r="AD828" s="9" t="n"/>
      <c r="AE828" s="9" t="n"/>
      <c r="AF828" s="9" t="n"/>
      <c r="AG828" s="9" t="n"/>
      <c r="AH828" s="9" t="n"/>
      <c r="AI828" s="9" t="n"/>
      <c r="AJ828" s="9" t="n"/>
      <c r="AK828" s="9" t="n"/>
      <c r="AL828" s="9" t="n"/>
      <c r="AM828" s="10" t="n"/>
    </row>
    <row r="829" ht="12.75" customHeight="1" s="562">
      <c r="E829" s="55" t="n"/>
      <c r="N829" s="10" t="n"/>
      <c r="O829" s="6" t="n"/>
      <c r="T829" s="6" t="n"/>
      <c r="Z829" s="6" t="n"/>
      <c r="AB829" s="9" t="n"/>
      <c r="AC829" s="9" t="n"/>
      <c r="AD829" s="9" t="n"/>
      <c r="AE829" s="9" t="n"/>
      <c r="AF829" s="9" t="n"/>
      <c r="AG829" s="9" t="n"/>
      <c r="AH829" s="9" t="n"/>
      <c r="AI829" s="9" t="n"/>
      <c r="AJ829" s="9" t="n"/>
      <c r="AK829" s="9" t="n"/>
      <c r="AL829" s="9" t="n"/>
      <c r="AM829" s="10" t="n"/>
    </row>
    <row r="830" ht="12.75" customHeight="1" s="562">
      <c r="E830" s="55" t="n"/>
      <c r="N830" s="10" t="n"/>
      <c r="O830" s="6" t="n"/>
      <c r="T830" s="6" t="n"/>
      <c r="Z830" s="6" t="n"/>
      <c r="AB830" s="9" t="n"/>
      <c r="AC830" s="9" t="n"/>
      <c r="AD830" s="9" t="n"/>
      <c r="AE830" s="9" t="n"/>
      <c r="AF830" s="9" t="n"/>
      <c r="AG830" s="9" t="n"/>
      <c r="AH830" s="9" t="n"/>
      <c r="AI830" s="9" t="n"/>
      <c r="AJ830" s="9" t="n"/>
      <c r="AK830" s="9" t="n"/>
      <c r="AL830" s="9" t="n"/>
      <c r="AM830" s="10" t="n"/>
    </row>
    <row r="831" ht="12.75" customHeight="1" s="562">
      <c r="E831" s="55" t="n"/>
      <c r="N831" s="10" t="n"/>
      <c r="O831" s="6" t="n"/>
      <c r="T831" s="6" t="n"/>
      <c r="Z831" s="6" t="n"/>
      <c r="AB831" s="9" t="n"/>
      <c r="AC831" s="9" t="n"/>
      <c r="AD831" s="9" t="n"/>
      <c r="AE831" s="9" t="n"/>
      <c r="AF831" s="9" t="n"/>
      <c r="AG831" s="9" t="n"/>
      <c r="AH831" s="9" t="n"/>
      <c r="AI831" s="9" t="n"/>
      <c r="AJ831" s="9" t="n"/>
      <c r="AK831" s="9" t="n"/>
      <c r="AL831" s="9" t="n"/>
      <c r="AM831" s="10" t="n"/>
    </row>
    <row r="832" ht="12.75" customHeight="1" s="562">
      <c r="E832" s="55" t="n"/>
      <c r="N832" s="10" t="n"/>
      <c r="O832" s="6" t="n"/>
      <c r="T832" s="6" t="n"/>
      <c r="Z832" s="6" t="n"/>
      <c r="AB832" s="9" t="n"/>
      <c r="AC832" s="9" t="n"/>
      <c r="AD832" s="9" t="n"/>
      <c r="AE832" s="9" t="n"/>
      <c r="AF832" s="9" t="n"/>
      <c r="AG832" s="9" t="n"/>
      <c r="AH832" s="9" t="n"/>
      <c r="AI832" s="9" t="n"/>
      <c r="AJ832" s="9" t="n"/>
      <c r="AK832" s="9" t="n"/>
      <c r="AL832" s="9" t="n"/>
      <c r="AM832" s="10" t="n"/>
    </row>
    <row r="833" ht="12.75" customHeight="1" s="562">
      <c r="E833" s="55" t="n"/>
      <c r="N833" s="10" t="n"/>
      <c r="O833" s="6" t="n"/>
      <c r="T833" s="6" t="n"/>
      <c r="Z833" s="6" t="n"/>
      <c r="AB833" s="9" t="n"/>
      <c r="AC833" s="9" t="n"/>
      <c r="AD833" s="9" t="n"/>
      <c r="AE833" s="9" t="n"/>
      <c r="AF833" s="9" t="n"/>
      <c r="AG833" s="9" t="n"/>
      <c r="AH833" s="9" t="n"/>
      <c r="AI833" s="9" t="n"/>
      <c r="AJ833" s="9" t="n"/>
      <c r="AK833" s="9" t="n"/>
      <c r="AL833" s="9" t="n"/>
      <c r="AM833" s="10" t="n"/>
    </row>
    <row r="834" ht="12.75" customHeight="1" s="562">
      <c r="E834" s="55" t="n"/>
      <c r="N834" s="10" t="n"/>
      <c r="O834" s="6" t="n"/>
      <c r="T834" s="6" t="n"/>
      <c r="Z834" s="6" t="n"/>
      <c r="AB834" s="9" t="n"/>
      <c r="AC834" s="9" t="n"/>
      <c r="AD834" s="9" t="n"/>
      <c r="AE834" s="9" t="n"/>
      <c r="AF834" s="9" t="n"/>
      <c r="AG834" s="9" t="n"/>
      <c r="AH834" s="9" t="n"/>
      <c r="AI834" s="9" t="n"/>
      <c r="AJ834" s="9" t="n"/>
      <c r="AK834" s="9" t="n"/>
      <c r="AL834" s="9" t="n"/>
      <c r="AM834" s="10" t="n"/>
    </row>
    <row r="835" ht="12.75" customHeight="1" s="562">
      <c r="E835" s="55" t="n"/>
      <c r="N835" s="10" t="n"/>
      <c r="O835" s="6" t="n"/>
      <c r="T835" s="6" t="n"/>
      <c r="Z835" s="6" t="n"/>
      <c r="AB835" s="9" t="n"/>
      <c r="AC835" s="9" t="n"/>
      <c r="AD835" s="9" t="n"/>
      <c r="AE835" s="9" t="n"/>
      <c r="AF835" s="9" t="n"/>
      <c r="AG835" s="9" t="n"/>
      <c r="AH835" s="9" t="n"/>
      <c r="AI835" s="9" t="n"/>
      <c r="AJ835" s="9" t="n"/>
      <c r="AK835" s="9" t="n"/>
      <c r="AL835" s="9" t="n"/>
      <c r="AM835" s="10" t="n"/>
    </row>
    <row r="836" ht="12.75" customHeight="1" s="562">
      <c r="E836" s="55" t="n"/>
      <c r="N836" s="10" t="n"/>
      <c r="O836" s="6" t="n"/>
      <c r="T836" s="6" t="n"/>
      <c r="Z836" s="6" t="n"/>
      <c r="AB836" s="9" t="n"/>
      <c r="AC836" s="9" t="n"/>
      <c r="AD836" s="9" t="n"/>
      <c r="AE836" s="9" t="n"/>
      <c r="AF836" s="9" t="n"/>
      <c r="AG836" s="9" t="n"/>
      <c r="AH836" s="9" t="n"/>
      <c r="AI836" s="9" t="n"/>
      <c r="AJ836" s="9" t="n"/>
      <c r="AK836" s="9" t="n"/>
      <c r="AL836" s="9" t="n"/>
      <c r="AM836" s="10" t="n"/>
    </row>
    <row r="837" ht="12.75" customHeight="1" s="562">
      <c r="E837" s="55" t="n"/>
      <c r="N837" s="10" t="n"/>
      <c r="O837" s="6" t="n"/>
      <c r="T837" s="6" t="n"/>
      <c r="Z837" s="6" t="n"/>
      <c r="AB837" s="9" t="n"/>
      <c r="AC837" s="9" t="n"/>
      <c r="AD837" s="9" t="n"/>
      <c r="AE837" s="9" t="n"/>
      <c r="AF837" s="9" t="n"/>
      <c r="AG837" s="9" t="n"/>
      <c r="AH837" s="9" t="n"/>
      <c r="AI837" s="9" t="n"/>
      <c r="AJ837" s="9" t="n"/>
      <c r="AK837" s="9" t="n"/>
      <c r="AL837" s="9" t="n"/>
      <c r="AM837" s="10" t="n"/>
    </row>
    <row r="838" ht="12.75" customHeight="1" s="562">
      <c r="E838" s="55" t="n"/>
      <c r="N838" s="10" t="n"/>
      <c r="O838" s="6" t="n"/>
      <c r="T838" s="6" t="n"/>
      <c r="Z838" s="6" t="n"/>
      <c r="AB838" s="9" t="n"/>
      <c r="AC838" s="9" t="n"/>
      <c r="AD838" s="9" t="n"/>
      <c r="AE838" s="9" t="n"/>
      <c r="AF838" s="9" t="n"/>
      <c r="AG838" s="9" t="n"/>
      <c r="AH838" s="9" t="n"/>
      <c r="AI838" s="9" t="n"/>
      <c r="AJ838" s="9" t="n"/>
      <c r="AK838" s="9" t="n"/>
      <c r="AL838" s="9" t="n"/>
      <c r="AM838" s="10" t="n"/>
    </row>
    <row r="839" ht="12.75" customHeight="1" s="562">
      <c r="E839" s="55" t="n"/>
      <c r="N839" s="10" t="n"/>
      <c r="O839" s="6" t="n"/>
      <c r="T839" s="6" t="n"/>
      <c r="Z839" s="6" t="n"/>
      <c r="AB839" s="9" t="n"/>
      <c r="AC839" s="9" t="n"/>
      <c r="AD839" s="9" t="n"/>
      <c r="AE839" s="9" t="n"/>
      <c r="AF839" s="9" t="n"/>
      <c r="AG839" s="9" t="n"/>
      <c r="AH839" s="9" t="n"/>
      <c r="AI839" s="9" t="n"/>
      <c r="AJ839" s="9" t="n"/>
      <c r="AK839" s="9" t="n"/>
      <c r="AL839" s="9" t="n"/>
      <c r="AM839" s="10" t="n"/>
    </row>
    <row r="840" ht="12.75" customHeight="1" s="562">
      <c r="E840" s="55" t="n"/>
      <c r="N840" s="10" t="n"/>
      <c r="O840" s="6" t="n"/>
      <c r="T840" s="6" t="n"/>
      <c r="Z840" s="6" t="n"/>
      <c r="AB840" s="9" t="n"/>
      <c r="AC840" s="9" t="n"/>
      <c r="AD840" s="9" t="n"/>
      <c r="AE840" s="9" t="n"/>
      <c r="AF840" s="9" t="n"/>
      <c r="AG840" s="9" t="n"/>
      <c r="AH840" s="9" t="n"/>
      <c r="AI840" s="9" t="n"/>
      <c r="AJ840" s="9" t="n"/>
      <c r="AK840" s="9" t="n"/>
      <c r="AL840" s="9" t="n"/>
      <c r="AM840" s="10" t="n"/>
    </row>
    <row r="841" ht="12.75" customHeight="1" s="562">
      <c r="E841" s="55" t="n"/>
      <c r="N841" s="10" t="n"/>
      <c r="O841" s="6" t="n"/>
      <c r="T841" s="6" t="n"/>
      <c r="Z841" s="6" t="n"/>
      <c r="AB841" s="9" t="n"/>
      <c r="AC841" s="9" t="n"/>
      <c r="AD841" s="9" t="n"/>
      <c r="AE841" s="9" t="n"/>
      <c r="AF841" s="9" t="n"/>
      <c r="AG841" s="9" t="n"/>
      <c r="AH841" s="9" t="n"/>
      <c r="AI841" s="9" t="n"/>
      <c r="AJ841" s="9" t="n"/>
      <c r="AK841" s="9" t="n"/>
      <c r="AL841" s="9" t="n"/>
      <c r="AM841" s="10" t="n"/>
    </row>
    <row r="842" ht="12.75" customHeight="1" s="562">
      <c r="E842" s="55" t="n"/>
      <c r="N842" s="10" t="n"/>
      <c r="O842" s="6" t="n"/>
      <c r="T842" s="6" t="n"/>
      <c r="Z842" s="6" t="n"/>
      <c r="AB842" s="9" t="n"/>
      <c r="AC842" s="9" t="n"/>
      <c r="AD842" s="9" t="n"/>
      <c r="AE842" s="9" t="n"/>
      <c r="AF842" s="9" t="n"/>
      <c r="AG842" s="9" t="n"/>
      <c r="AH842" s="9" t="n"/>
      <c r="AI842" s="9" t="n"/>
      <c r="AJ842" s="9" t="n"/>
      <c r="AK842" s="9" t="n"/>
      <c r="AL842" s="9" t="n"/>
      <c r="AM842" s="10" t="n"/>
    </row>
    <row r="843" ht="12.75" customHeight="1" s="562">
      <c r="E843" s="55" t="n"/>
      <c r="N843" s="10" t="n"/>
      <c r="O843" s="6" t="n"/>
      <c r="T843" s="6" t="n"/>
      <c r="Z843" s="6" t="n"/>
      <c r="AB843" s="9" t="n"/>
      <c r="AC843" s="9" t="n"/>
      <c r="AD843" s="9" t="n"/>
      <c r="AE843" s="9" t="n"/>
      <c r="AF843" s="9" t="n"/>
      <c r="AG843" s="9" t="n"/>
      <c r="AH843" s="9" t="n"/>
      <c r="AI843" s="9" t="n"/>
      <c r="AJ843" s="9" t="n"/>
      <c r="AK843" s="9" t="n"/>
      <c r="AL843" s="9" t="n"/>
      <c r="AM843" s="10" t="n"/>
    </row>
    <row r="844" ht="12.75" customHeight="1" s="562">
      <c r="E844" s="55" t="n"/>
      <c r="N844" s="10" t="n"/>
      <c r="O844" s="6" t="n"/>
      <c r="T844" s="6" t="n"/>
      <c r="Z844" s="6" t="n"/>
      <c r="AB844" s="9" t="n"/>
      <c r="AC844" s="9" t="n"/>
      <c r="AD844" s="9" t="n"/>
      <c r="AE844" s="9" t="n"/>
      <c r="AF844" s="9" t="n"/>
      <c r="AG844" s="9" t="n"/>
      <c r="AH844" s="9" t="n"/>
      <c r="AI844" s="9" t="n"/>
      <c r="AJ844" s="9" t="n"/>
      <c r="AK844" s="9" t="n"/>
      <c r="AL844" s="9" t="n"/>
      <c r="AM844" s="10" t="n"/>
    </row>
    <row r="845" ht="12.75" customHeight="1" s="562">
      <c r="E845" s="55" t="n"/>
      <c r="N845" s="10" t="n"/>
      <c r="O845" s="6" t="n"/>
      <c r="T845" s="6" t="n"/>
      <c r="Z845" s="6" t="n"/>
      <c r="AB845" s="9" t="n"/>
      <c r="AC845" s="9" t="n"/>
      <c r="AD845" s="9" t="n"/>
      <c r="AE845" s="9" t="n"/>
      <c r="AF845" s="9" t="n"/>
      <c r="AG845" s="9" t="n"/>
      <c r="AH845" s="9" t="n"/>
      <c r="AI845" s="9" t="n"/>
      <c r="AJ845" s="9" t="n"/>
      <c r="AK845" s="9" t="n"/>
      <c r="AL845" s="9" t="n"/>
      <c r="AM845" s="10" t="n"/>
    </row>
    <row r="846" ht="12.75" customHeight="1" s="562">
      <c r="E846" s="55" t="n"/>
      <c r="N846" s="10" t="n"/>
      <c r="O846" s="6" t="n"/>
      <c r="T846" s="6" t="n"/>
      <c r="Z846" s="6" t="n"/>
      <c r="AB846" s="9" t="n"/>
      <c r="AC846" s="9" t="n"/>
      <c r="AD846" s="9" t="n"/>
      <c r="AE846" s="9" t="n"/>
      <c r="AF846" s="9" t="n"/>
      <c r="AG846" s="9" t="n"/>
      <c r="AH846" s="9" t="n"/>
      <c r="AI846" s="9" t="n"/>
      <c r="AJ846" s="9" t="n"/>
      <c r="AK846" s="9" t="n"/>
      <c r="AL846" s="9" t="n"/>
      <c r="AM846" s="10" t="n"/>
    </row>
    <row r="847" ht="12.75" customHeight="1" s="562">
      <c r="E847" s="55" t="n"/>
      <c r="N847" s="10" t="n"/>
      <c r="O847" s="6" t="n"/>
      <c r="T847" s="6" t="n"/>
      <c r="Z847" s="6" t="n"/>
      <c r="AB847" s="9" t="n"/>
      <c r="AC847" s="9" t="n"/>
      <c r="AD847" s="9" t="n"/>
      <c r="AE847" s="9" t="n"/>
      <c r="AF847" s="9" t="n"/>
      <c r="AG847" s="9" t="n"/>
      <c r="AH847" s="9" t="n"/>
      <c r="AI847" s="9" t="n"/>
      <c r="AJ847" s="9" t="n"/>
      <c r="AK847" s="9" t="n"/>
      <c r="AL847" s="9" t="n"/>
      <c r="AM847" s="10" t="n"/>
    </row>
    <row r="848" ht="12.75" customHeight="1" s="562">
      <c r="E848" s="55" t="n"/>
      <c r="N848" s="10" t="n"/>
      <c r="O848" s="6" t="n"/>
      <c r="T848" s="6" t="n"/>
      <c r="Z848" s="6" t="n"/>
      <c r="AB848" s="9" t="n"/>
      <c r="AC848" s="9" t="n"/>
      <c r="AD848" s="9" t="n"/>
      <c r="AE848" s="9" t="n"/>
      <c r="AF848" s="9" t="n"/>
      <c r="AG848" s="9" t="n"/>
      <c r="AH848" s="9" t="n"/>
      <c r="AI848" s="9" t="n"/>
      <c r="AJ848" s="9" t="n"/>
      <c r="AK848" s="9" t="n"/>
      <c r="AL848" s="9" t="n"/>
      <c r="AM848" s="10" t="n"/>
    </row>
    <row r="849" ht="12.75" customHeight="1" s="562">
      <c r="E849" s="55" t="n"/>
      <c r="N849" s="10" t="n"/>
      <c r="O849" s="6" t="n"/>
      <c r="T849" s="6" t="n"/>
      <c r="Z849" s="6" t="n"/>
      <c r="AB849" s="9" t="n"/>
      <c r="AC849" s="9" t="n"/>
      <c r="AD849" s="9" t="n"/>
      <c r="AE849" s="9" t="n"/>
      <c r="AF849" s="9" t="n"/>
      <c r="AG849" s="9" t="n"/>
      <c r="AH849" s="9" t="n"/>
      <c r="AI849" s="9" t="n"/>
      <c r="AJ849" s="9" t="n"/>
      <c r="AK849" s="9" t="n"/>
      <c r="AL849" s="9" t="n"/>
      <c r="AM849" s="10" t="n"/>
    </row>
    <row r="850" ht="12.75" customHeight="1" s="562">
      <c r="E850" s="55" t="n"/>
      <c r="N850" s="10" t="n"/>
      <c r="O850" s="6" t="n"/>
      <c r="T850" s="6" t="n"/>
      <c r="Z850" s="6" t="n"/>
      <c r="AB850" s="9" t="n"/>
      <c r="AC850" s="9" t="n"/>
      <c r="AD850" s="9" t="n"/>
      <c r="AE850" s="9" t="n"/>
      <c r="AF850" s="9" t="n"/>
      <c r="AG850" s="9" t="n"/>
      <c r="AH850" s="9" t="n"/>
      <c r="AI850" s="9" t="n"/>
      <c r="AJ850" s="9" t="n"/>
      <c r="AK850" s="9" t="n"/>
      <c r="AL850" s="9" t="n"/>
      <c r="AM850" s="10" t="n"/>
    </row>
    <row r="851" ht="12.75" customHeight="1" s="562">
      <c r="E851" s="55" t="n"/>
      <c r="N851" s="10" t="n"/>
      <c r="O851" s="6" t="n"/>
      <c r="T851" s="6" t="n"/>
      <c r="Z851" s="6" t="n"/>
      <c r="AB851" s="9" t="n"/>
      <c r="AC851" s="9" t="n"/>
      <c r="AD851" s="9" t="n"/>
      <c r="AE851" s="9" t="n"/>
      <c r="AF851" s="9" t="n"/>
      <c r="AG851" s="9" t="n"/>
      <c r="AH851" s="9" t="n"/>
      <c r="AI851" s="9" t="n"/>
      <c r="AJ851" s="9" t="n"/>
      <c r="AK851" s="9" t="n"/>
      <c r="AL851" s="9" t="n"/>
      <c r="AM851" s="10" t="n"/>
    </row>
    <row r="852" ht="12.75" customHeight="1" s="562">
      <c r="E852" s="55" t="n"/>
      <c r="N852" s="10" t="n"/>
      <c r="O852" s="6" t="n"/>
      <c r="T852" s="6" t="n"/>
      <c r="Z852" s="6" t="n"/>
      <c r="AB852" s="9" t="n"/>
      <c r="AC852" s="9" t="n"/>
      <c r="AD852" s="9" t="n"/>
      <c r="AE852" s="9" t="n"/>
      <c r="AF852" s="9" t="n"/>
      <c r="AG852" s="9" t="n"/>
      <c r="AH852" s="9" t="n"/>
      <c r="AI852" s="9" t="n"/>
      <c r="AJ852" s="9" t="n"/>
      <c r="AK852" s="9" t="n"/>
      <c r="AL852" s="9" t="n"/>
      <c r="AM852" s="10" t="n"/>
    </row>
    <row r="853" ht="12.75" customHeight="1" s="562">
      <c r="E853" s="55" t="n"/>
      <c r="N853" s="10" t="n"/>
      <c r="O853" s="6" t="n"/>
      <c r="T853" s="6" t="n"/>
      <c r="Z853" s="6" t="n"/>
      <c r="AB853" s="9" t="n"/>
      <c r="AC853" s="9" t="n"/>
      <c r="AD853" s="9" t="n"/>
      <c r="AE853" s="9" t="n"/>
      <c r="AF853" s="9" t="n"/>
      <c r="AG853" s="9" t="n"/>
      <c r="AH853" s="9" t="n"/>
      <c r="AI853" s="9" t="n"/>
      <c r="AJ853" s="9" t="n"/>
      <c r="AK853" s="9" t="n"/>
      <c r="AL853" s="9" t="n"/>
      <c r="AM853" s="10" t="n"/>
    </row>
    <row r="854" ht="12.75" customHeight="1" s="562">
      <c r="E854" s="55" t="n"/>
      <c r="N854" s="10" t="n"/>
      <c r="O854" s="6" t="n"/>
      <c r="T854" s="6" t="n"/>
      <c r="Z854" s="6" t="n"/>
      <c r="AB854" s="9" t="n"/>
      <c r="AC854" s="9" t="n"/>
      <c r="AD854" s="9" t="n"/>
      <c r="AE854" s="9" t="n"/>
      <c r="AF854" s="9" t="n"/>
      <c r="AG854" s="9" t="n"/>
      <c r="AH854" s="9" t="n"/>
      <c r="AI854" s="9" t="n"/>
      <c r="AJ854" s="9" t="n"/>
      <c r="AK854" s="9" t="n"/>
      <c r="AL854" s="9" t="n"/>
      <c r="AM854" s="10" t="n"/>
    </row>
    <row r="855" ht="12.75" customHeight="1" s="562">
      <c r="E855" s="55" t="n"/>
      <c r="N855" s="10" t="n"/>
      <c r="O855" s="6" t="n"/>
      <c r="T855" s="6" t="n"/>
      <c r="Z855" s="6" t="n"/>
      <c r="AB855" s="9" t="n"/>
      <c r="AC855" s="9" t="n"/>
      <c r="AD855" s="9" t="n"/>
      <c r="AE855" s="9" t="n"/>
      <c r="AF855" s="9" t="n"/>
      <c r="AG855" s="9" t="n"/>
      <c r="AH855" s="9" t="n"/>
      <c r="AI855" s="9" t="n"/>
      <c r="AJ855" s="9" t="n"/>
      <c r="AK855" s="9" t="n"/>
      <c r="AL855" s="9" t="n"/>
      <c r="AM855" s="10" t="n"/>
    </row>
    <row r="856" ht="12.75" customHeight="1" s="562">
      <c r="E856" s="55" t="n"/>
      <c r="N856" s="10" t="n"/>
      <c r="O856" s="6" t="n"/>
      <c r="T856" s="6" t="n"/>
      <c r="Z856" s="6" t="n"/>
      <c r="AB856" s="9" t="n"/>
      <c r="AC856" s="9" t="n"/>
      <c r="AD856" s="9" t="n"/>
      <c r="AE856" s="9" t="n"/>
      <c r="AF856" s="9" t="n"/>
      <c r="AG856" s="9" t="n"/>
      <c r="AH856" s="9" t="n"/>
      <c r="AI856" s="9" t="n"/>
      <c r="AJ856" s="9" t="n"/>
      <c r="AK856" s="9" t="n"/>
      <c r="AL856" s="9" t="n"/>
      <c r="AM856" s="10" t="n"/>
    </row>
    <row r="857" ht="12.75" customHeight="1" s="562">
      <c r="E857" s="55" t="n"/>
      <c r="N857" s="10" t="n"/>
      <c r="O857" s="6" t="n"/>
      <c r="T857" s="6" t="n"/>
      <c r="Z857" s="6" t="n"/>
      <c r="AB857" s="9" t="n"/>
      <c r="AC857" s="9" t="n"/>
      <c r="AD857" s="9" t="n"/>
      <c r="AE857" s="9" t="n"/>
      <c r="AF857" s="9" t="n"/>
      <c r="AG857" s="9" t="n"/>
      <c r="AH857" s="9" t="n"/>
      <c r="AI857" s="9" t="n"/>
      <c r="AJ857" s="9" t="n"/>
      <c r="AK857" s="9" t="n"/>
      <c r="AL857" s="9" t="n"/>
      <c r="AM857" s="10" t="n"/>
    </row>
    <row r="858" ht="12.75" customHeight="1" s="562">
      <c r="E858" s="55" t="n"/>
      <c r="N858" s="10" t="n"/>
      <c r="O858" s="6" t="n"/>
      <c r="T858" s="6" t="n"/>
      <c r="Z858" s="6" t="n"/>
      <c r="AB858" s="9" t="n"/>
      <c r="AC858" s="9" t="n"/>
      <c r="AD858" s="9" t="n"/>
      <c r="AE858" s="9" t="n"/>
      <c r="AF858" s="9" t="n"/>
      <c r="AG858" s="9" t="n"/>
      <c r="AH858" s="9" t="n"/>
      <c r="AI858" s="9" t="n"/>
      <c r="AJ858" s="9" t="n"/>
      <c r="AK858" s="9" t="n"/>
      <c r="AL858" s="9" t="n"/>
      <c r="AM858" s="10" t="n"/>
    </row>
    <row r="859" ht="12.75" customHeight="1" s="562">
      <c r="E859" s="55" t="n"/>
      <c r="N859" s="10" t="n"/>
      <c r="O859" s="6" t="n"/>
      <c r="T859" s="6" t="n"/>
      <c r="Z859" s="6" t="n"/>
      <c r="AB859" s="9" t="n"/>
      <c r="AC859" s="9" t="n"/>
      <c r="AD859" s="9" t="n"/>
      <c r="AE859" s="9" t="n"/>
      <c r="AF859" s="9" t="n"/>
      <c r="AG859" s="9" t="n"/>
      <c r="AH859" s="9" t="n"/>
      <c r="AI859" s="9" t="n"/>
      <c r="AJ859" s="9" t="n"/>
      <c r="AK859" s="9" t="n"/>
      <c r="AL859" s="9" t="n"/>
      <c r="AM859" s="10" t="n"/>
    </row>
    <row r="860" ht="12.75" customHeight="1" s="562">
      <c r="E860" s="55" t="n"/>
      <c r="N860" s="10" t="n"/>
      <c r="O860" s="6" t="n"/>
      <c r="T860" s="6" t="n"/>
      <c r="Z860" s="6" t="n"/>
      <c r="AB860" s="9" t="n"/>
      <c r="AC860" s="9" t="n"/>
      <c r="AD860" s="9" t="n"/>
      <c r="AE860" s="9" t="n"/>
      <c r="AF860" s="9" t="n"/>
      <c r="AG860" s="9" t="n"/>
      <c r="AH860" s="9" t="n"/>
      <c r="AI860" s="9" t="n"/>
      <c r="AJ860" s="9" t="n"/>
      <c r="AK860" s="9" t="n"/>
      <c r="AL860" s="9" t="n"/>
      <c r="AM860" s="10" t="n"/>
    </row>
    <row r="861" ht="12.75" customHeight="1" s="562">
      <c r="E861" s="55" t="n"/>
      <c r="N861" s="10" t="n"/>
      <c r="O861" s="6" t="n"/>
      <c r="T861" s="6" t="n"/>
      <c r="Z861" s="6" t="n"/>
      <c r="AB861" s="9" t="n"/>
      <c r="AC861" s="9" t="n"/>
      <c r="AD861" s="9" t="n"/>
      <c r="AE861" s="9" t="n"/>
      <c r="AF861" s="9" t="n"/>
      <c r="AG861" s="9" t="n"/>
      <c r="AH861" s="9" t="n"/>
      <c r="AI861" s="9" t="n"/>
      <c r="AJ861" s="9" t="n"/>
      <c r="AK861" s="9" t="n"/>
      <c r="AL861" s="9" t="n"/>
      <c r="AM861" s="10" t="n"/>
    </row>
    <row r="862" ht="12.75" customHeight="1" s="562">
      <c r="E862" s="55" t="n"/>
      <c r="N862" s="10" t="n"/>
      <c r="O862" s="6" t="n"/>
      <c r="T862" s="6" t="n"/>
      <c r="Z862" s="6" t="n"/>
      <c r="AB862" s="9" t="n"/>
      <c r="AC862" s="9" t="n"/>
      <c r="AD862" s="9" t="n"/>
      <c r="AE862" s="9" t="n"/>
      <c r="AF862" s="9" t="n"/>
      <c r="AG862" s="9" t="n"/>
      <c r="AH862" s="9" t="n"/>
      <c r="AI862" s="9" t="n"/>
      <c r="AJ862" s="9" t="n"/>
      <c r="AK862" s="9" t="n"/>
      <c r="AL862" s="9" t="n"/>
      <c r="AM862" s="10" t="n"/>
    </row>
    <row r="863" ht="12.75" customHeight="1" s="562">
      <c r="E863" s="55" t="n"/>
      <c r="N863" s="10" t="n"/>
      <c r="O863" s="6" t="n"/>
      <c r="T863" s="6" t="n"/>
      <c r="Z863" s="6" t="n"/>
      <c r="AB863" s="9" t="n"/>
      <c r="AC863" s="9" t="n"/>
      <c r="AD863" s="9" t="n"/>
      <c r="AE863" s="9" t="n"/>
      <c r="AF863" s="9" t="n"/>
      <c r="AG863" s="9" t="n"/>
      <c r="AH863" s="9" t="n"/>
      <c r="AI863" s="9" t="n"/>
      <c r="AJ863" s="9" t="n"/>
      <c r="AK863" s="9" t="n"/>
      <c r="AL863" s="9" t="n"/>
      <c r="AM863" s="10" t="n"/>
    </row>
    <row r="864" ht="12.75" customHeight="1" s="562">
      <c r="E864" s="55" t="n"/>
      <c r="N864" s="10" t="n"/>
      <c r="O864" s="6" t="n"/>
      <c r="T864" s="6" t="n"/>
      <c r="Z864" s="6" t="n"/>
      <c r="AB864" s="9" t="n"/>
      <c r="AC864" s="9" t="n"/>
      <c r="AD864" s="9" t="n"/>
      <c r="AE864" s="9" t="n"/>
      <c r="AF864" s="9" t="n"/>
      <c r="AG864" s="9" t="n"/>
      <c r="AH864" s="9" t="n"/>
      <c r="AI864" s="9" t="n"/>
      <c r="AJ864" s="9" t="n"/>
      <c r="AK864" s="9" t="n"/>
      <c r="AL864" s="9" t="n"/>
      <c r="AM864" s="10" t="n"/>
    </row>
    <row r="865" ht="12.75" customHeight="1" s="562">
      <c r="E865" s="55" t="n"/>
      <c r="N865" s="10" t="n"/>
      <c r="O865" s="6" t="n"/>
      <c r="T865" s="6" t="n"/>
      <c r="Z865" s="6" t="n"/>
      <c r="AB865" s="9" t="n"/>
      <c r="AC865" s="9" t="n"/>
      <c r="AD865" s="9" t="n"/>
      <c r="AE865" s="9" t="n"/>
      <c r="AF865" s="9" t="n"/>
      <c r="AG865" s="9" t="n"/>
      <c r="AH865" s="9" t="n"/>
      <c r="AI865" s="9" t="n"/>
      <c r="AJ865" s="9" t="n"/>
      <c r="AK865" s="9" t="n"/>
      <c r="AL865" s="9" t="n"/>
      <c r="AM865" s="10" t="n"/>
    </row>
    <row r="866" ht="12.75" customHeight="1" s="562">
      <c r="E866" s="55" t="n"/>
      <c r="N866" s="10" t="n"/>
      <c r="O866" s="6" t="n"/>
      <c r="T866" s="6" t="n"/>
      <c r="Z866" s="6" t="n"/>
      <c r="AB866" s="9" t="n"/>
      <c r="AC866" s="9" t="n"/>
      <c r="AD866" s="9" t="n"/>
      <c r="AE866" s="9" t="n"/>
      <c r="AF866" s="9" t="n"/>
      <c r="AG866" s="9" t="n"/>
      <c r="AH866" s="9" t="n"/>
      <c r="AI866" s="9" t="n"/>
      <c r="AJ866" s="9" t="n"/>
      <c r="AK866" s="9" t="n"/>
      <c r="AL866" s="9" t="n"/>
      <c r="AM866" s="10" t="n"/>
    </row>
    <row r="867" ht="12.75" customHeight="1" s="562">
      <c r="E867" s="55" t="n"/>
      <c r="N867" s="10" t="n"/>
      <c r="O867" s="6" t="n"/>
      <c r="T867" s="6" t="n"/>
      <c r="Z867" s="6" t="n"/>
      <c r="AB867" s="9" t="n"/>
      <c r="AC867" s="9" t="n"/>
      <c r="AD867" s="9" t="n"/>
      <c r="AE867" s="9" t="n"/>
      <c r="AF867" s="9" t="n"/>
      <c r="AG867" s="9" t="n"/>
      <c r="AH867" s="9" t="n"/>
      <c r="AI867" s="9" t="n"/>
      <c r="AJ867" s="9" t="n"/>
      <c r="AK867" s="9" t="n"/>
      <c r="AL867" s="9" t="n"/>
      <c r="AM867" s="10" t="n"/>
    </row>
    <row r="868" ht="12.75" customHeight="1" s="562">
      <c r="E868" s="55" t="n"/>
      <c r="N868" s="10" t="n"/>
      <c r="O868" s="6" t="n"/>
      <c r="T868" s="6" t="n"/>
      <c r="Z868" s="6" t="n"/>
      <c r="AB868" s="9" t="n"/>
      <c r="AC868" s="9" t="n"/>
      <c r="AD868" s="9" t="n"/>
      <c r="AE868" s="9" t="n"/>
      <c r="AF868" s="9" t="n"/>
      <c r="AG868" s="9" t="n"/>
      <c r="AH868" s="9" t="n"/>
      <c r="AI868" s="9" t="n"/>
      <c r="AJ868" s="9" t="n"/>
      <c r="AK868" s="9" t="n"/>
      <c r="AL868" s="9" t="n"/>
      <c r="AM868" s="10" t="n"/>
    </row>
    <row r="869" ht="12.75" customHeight="1" s="562">
      <c r="E869" s="55" t="n"/>
      <c r="N869" s="10" t="n"/>
      <c r="O869" s="6" t="n"/>
      <c r="T869" s="6" t="n"/>
      <c r="Z869" s="6" t="n"/>
      <c r="AB869" s="9" t="n"/>
      <c r="AC869" s="9" t="n"/>
      <c r="AD869" s="9" t="n"/>
      <c r="AE869" s="9" t="n"/>
      <c r="AF869" s="9" t="n"/>
      <c r="AG869" s="9" t="n"/>
      <c r="AH869" s="9" t="n"/>
      <c r="AI869" s="9" t="n"/>
      <c r="AJ869" s="9" t="n"/>
      <c r="AK869" s="9" t="n"/>
      <c r="AL869" s="9" t="n"/>
      <c r="AM869" s="10" t="n"/>
    </row>
    <row r="870" ht="12.75" customHeight="1" s="562">
      <c r="E870" s="55" t="n"/>
      <c r="N870" s="10" t="n"/>
      <c r="O870" s="6" t="n"/>
      <c r="T870" s="6" t="n"/>
      <c r="Z870" s="6" t="n"/>
      <c r="AB870" s="9" t="n"/>
      <c r="AC870" s="9" t="n"/>
      <c r="AD870" s="9" t="n"/>
      <c r="AE870" s="9" t="n"/>
      <c r="AF870" s="9" t="n"/>
      <c r="AG870" s="9" t="n"/>
      <c r="AH870" s="9" t="n"/>
      <c r="AI870" s="9" t="n"/>
      <c r="AJ870" s="9" t="n"/>
      <c r="AK870" s="9" t="n"/>
      <c r="AL870" s="9" t="n"/>
      <c r="AM870" s="10" t="n"/>
    </row>
    <row r="871" ht="12.75" customHeight="1" s="562">
      <c r="E871" s="55" t="n"/>
      <c r="N871" s="10" t="n"/>
      <c r="O871" s="6" t="n"/>
      <c r="T871" s="6" t="n"/>
      <c r="Z871" s="6" t="n"/>
      <c r="AB871" s="9" t="n"/>
      <c r="AC871" s="9" t="n"/>
      <c r="AD871" s="9" t="n"/>
      <c r="AE871" s="9" t="n"/>
      <c r="AF871" s="9" t="n"/>
      <c r="AG871" s="9" t="n"/>
      <c r="AH871" s="9" t="n"/>
      <c r="AI871" s="9" t="n"/>
      <c r="AJ871" s="9" t="n"/>
      <c r="AK871" s="9" t="n"/>
      <c r="AL871" s="9" t="n"/>
      <c r="AM871" s="10" t="n"/>
    </row>
    <row r="872" ht="12.75" customHeight="1" s="562">
      <c r="E872" s="55" t="n"/>
      <c r="N872" s="10" t="n"/>
      <c r="O872" s="6" t="n"/>
      <c r="T872" s="6" t="n"/>
      <c r="Z872" s="6" t="n"/>
      <c r="AB872" s="9" t="n"/>
      <c r="AC872" s="9" t="n"/>
      <c r="AD872" s="9" t="n"/>
      <c r="AE872" s="9" t="n"/>
      <c r="AF872" s="9" t="n"/>
      <c r="AG872" s="9" t="n"/>
      <c r="AH872" s="9" t="n"/>
      <c r="AI872" s="9" t="n"/>
      <c r="AJ872" s="9" t="n"/>
      <c r="AK872" s="9" t="n"/>
      <c r="AL872" s="9" t="n"/>
      <c r="AM872" s="10" t="n"/>
    </row>
    <row r="873" ht="12.75" customHeight="1" s="562">
      <c r="E873" s="55" t="n"/>
      <c r="N873" s="10" t="n"/>
      <c r="O873" s="6" t="n"/>
      <c r="T873" s="6" t="n"/>
      <c r="Z873" s="6" t="n"/>
      <c r="AB873" s="9" t="n"/>
      <c r="AC873" s="9" t="n"/>
      <c r="AD873" s="9" t="n"/>
      <c r="AE873" s="9" t="n"/>
      <c r="AF873" s="9" t="n"/>
      <c r="AG873" s="9" t="n"/>
      <c r="AH873" s="9" t="n"/>
      <c r="AI873" s="9" t="n"/>
      <c r="AJ873" s="9" t="n"/>
      <c r="AK873" s="9" t="n"/>
      <c r="AL873" s="9" t="n"/>
      <c r="AM873" s="10" t="n"/>
    </row>
    <row r="874" ht="12.75" customHeight="1" s="562">
      <c r="E874" s="55" t="n"/>
      <c r="N874" s="10" t="n"/>
      <c r="O874" s="6" t="n"/>
      <c r="T874" s="6" t="n"/>
      <c r="Z874" s="6" t="n"/>
      <c r="AB874" s="9" t="n"/>
      <c r="AC874" s="9" t="n"/>
      <c r="AD874" s="9" t="n"/>
      <c r="AE874" s="9" t="n"/>
      <c r="AF874" s="9" t="n"/>
      <c r="AG874" s="9" t="n"/>
      <c r="AH874" s="9" t="n"/>
      <c r="AI874" s="9" t="n"/>
      <c r="AJ874" s="9" t="n"/>
      <c r="AK874" s="9" t="n"/>
      <c r="AL874" s="9" t="n"/>
      <c r="AM874" s="10" t="n"/>
    </row>
    <row r="875" ht="12.75" customHeight="1" s="562">
      <c r="E875" s="55" t="n"/>
      <c r="N875" s="10" t="n"/>
      <c r="O875" s="6" t="n"/>
      <c r="T875" s="6" t="n"/>
      <c r="Z875" s="6" t="n"/>
      <c r="AB875" s="9" t="n"/>
      <c r="AC875" s="9" t="n"/>
      <c r="AD875" s="9" t="n"/>
      <c r="AE875" s="9" t="n"/>
      <c r="AF875" s="9" t="n"/>
      <c r="AG875" s="9" t="n"/>
      <c r="AH875" s="9" t="n"/>
      <c r="AI875" s="9" t="n"/>
      <c r="AJ875" s="9" t="n"/>
      <c r="AK875" s="9" t="n"/>
      <c r="AL875" s="9" t="n"/>
      <c r="AM875" s="10" t="n"/>
    </row>
    <row r="876" ht="12.75" customHeight="1" s="562">
      <c r="E876" s="55" t="n"/>
      <c r="N876" s="10" t="n"/>
      <c r="O876" s="6" t="n"/>
      <c r="T876" s="6" t="n"/>
      <c r="Z876" s="6" t="n"/>
      <c r="AB876" s="9" t="n"/>
      <c r="AC876" s="9" t="n"/>
      <c r="AD876" s="9" t="n"/>
      <c r="AE876" s="9" t="n"/>
      <c r="AF876" s="9" t="n"/>
      <c r="AG876" s="9" t="n"/>
      <c r="AH876" s="9" t="n"/>
      <c r="AI876" s="9" t="n"/>
      <c r="AJ876" s="9" t="n"/>
      <c r="AK876" s="9" t="n"/>
      <c r="AL876" s="9" t="n"/>
      <c r="AM876" s="10" t="n"/>
    </row>
    <row r="877" ht="12.75" customHeight="1" s="562">
      <c r="E877" s="55" t="n"/>
      <c r="N877" s="10" t="n"/>
      <c r="O877" s="6" t="n"/>
      <c r="T877" s="6" t="n"/>
      <c r="Z877" s="6" t="n"/>
      <c r="AB877" s="9" t="n"/>
      <c r="AC877" s="9" t="n"/>
      <c r="AD877" s="9" t="n"/>
      <c r="AE877" s="9" t="n"/>
      <c r="AF877" s="9" t="n"/>
      <c r="AG877" s="9" t="n"/>
      <c r="AH877" s="9" t="n"/>
      <c r="AI877" s="9" t="n"/>
      <c r="AJ877" s="9" t="n"/>
      <c r="AK877" s="9" t="n"/>
      <c r="AL877" s="9" t="n"/>
      <c r="AM877" s="10" t="n"/>
    </row>
    <row r="878" ht="12.75" customHeight="1" s="562">
      <c r="E878" s="55" t="n"/>
      <c r="N878" s="10" t="n"/>
      <c r="O878" s="6" t="n"/>
      <c r="T878" s="6" t="n"/>
      <c r="Z878" s="6" t="n"/>
      <c r="AB878" s="9" t="n"/>
      <c r="AC878" s="9" t="n"/>
      <c r="AD878" s="9" t="n"/>
      <c r="AE878" s="9" t="n"/>
      <c r="AF878" s="9" t="n"/>
      <c r="AG878" s="9" t="n"/>
      <c r="AH878" s="9" t="n"/>
      <c r="AI878" s="9" t="n"/>
      <c r="AJ878" s="9" t="n"/>
      <c r="AK878" s="9" t="n"/>
      <c r="AL878" s="9" t="n"/>
      <c r="AM878" s="10" t="n"/>
    </row>
    <row r="879" ht="12.75" customHeight="1" s="562">
      <c r="E879" s="55" t="n"/>
      <c r="N879" s="10" t="n"/>
      <c r="O879" s="6" t="n"/>
      <c r="T879" s="6" t="n"/>
      <c r="Z879" s="6" t="n"/>
      <c r="AB879" s="9" t="n"/>
      <c r="AC879" s="9" t="n"/>
      <c r="AD879" s="9" t="n"/>
      <c r="AE879" s="9" t="n"/>
      <c r="AF879" s="9" t="n"/>
      <c r="AG879" s="9" t="n"/>
      <c r="AH879" s="9" t="n"/>
      <c r="AI879" s="9" t="n"/>
      <c r="AJ879" s="9" t="n"/>
      <c r="AK879" s="9" t="n"/>
      <c r="AL879" s="9" t="n"/>
      <c r="AM879" s="10" t="n"/>
    </row>
    <row r="880" ht="12.75" customHeight="1" s="562">
      <c r="E880" s="55" t="n"/>
      <c r="N880" s="10" t="n"/>
      <c r="O880" s="6" t="n"/>
      <c r="T880" s="6" t="n"/>
      <c r="Z880" s="6" t="n"/>
      <c r="AB880" s="9" t="n"/>
      <c r="AC880" s="9" t="n"/>
      <c r="AD880" s="9" t="n"/>
      <c r="AE880" s="9" t="n"/>
      <c r="AF880" s="9" t="n"/>
      <c r="AG880" s="9" t="n"/>
      <c r="AH880" s="9" t="n"/>
      <c r="AI880" s="9" t="n"/>
      <c r="AJ880" s="9" t="n"/>
      <c r="AK880" s="9" t="n"/>
      <c r="AL880" s="9" t="n"/>
      <c r="AM880" s="10" t="n"/>
    </row>
    <row r="881" ht="12.75" customHeight="1" s="562">
      <c r="E881" s="55" t="n"/>
      <c r="N881" s="10" t="n"/>
      <c r="O881" s="6" t="n"/>
      <c r="T881" s="6" t="n"/>
      <c r="Z881" s="6" t="n"/>
      <c r="AB881" s="9" t="n"/>
      <c r="AC881" s="9" t="n"/>
      <c r="AD881" s="9" t="n"/>
      <c r="AE881" s="9" t="n"/>
      <c r="AF881" s="9" t="n"/>
      <c r="AG881" s="9" t="n"/>
      <c r="AH881" s="9" t="n"/>
      <c r="AI881" s="9" t="n"/>
      <c r="AJ881" s="9" t="n"/>
      <c r="AK881" s="9" t="n"/>
      <c r="AL881" s="9" t="n"/>
      <c r="AM881" s="10" t="n"/>
    </row>
    <row r="882" ht="12.75" customHeight="1" s="562">
      <c r="E882" s="55" t="n"/>
      <c r="N882" s="10" t="n"/>
      <c r="O882" s="6" t="n"/>
      <c r="T882" s="6" t="n"/>
      <c r="Z882" s="6" t="n"/>
      <c r="AB882" s="9" t="n"/>
      <c r="AC882" s="9" t="n"/>
      <c r="AD882" s="9" t="n"/>
      <c r="AE882" s="9" t="n"/>
      <c r="AF882" s="9" t="n"/>
      <c r="AG882" s="9" t="n"/>
      <c r="AH882" s="9" t="n"/>
      <c r="AI882" s="9" t="n"/>
      <c r="AJ882" s="9" t="n"/>
      <c r="AK882" s="9" t="n"/>
      <c r="AL882" s="9" t="n"/>
      <c r="AM882" s="10" t="n"/>
    </row>
    <row r="883" ht="12.75" customHeight="1" s="562">
      <c r="E883" s="55" t="n"/>
      <c r="N883" s="10" t="n"/>
      <c r="O883" s="6" t="n"/>
      <c r="T883" s="6" t="n"/>
      <c r="Z883" s="6" t="n"/>
      <c r="AB883" s="9" t="n"/>
      <c r="AC883" s="9" t="n"/>
      <c r="AD883" s="9" t="n"/>
      <c r="AE883" s="9" t="n"/>
      <c r="AF883" s="9" t="n"/>
      <c r="AG883" s="9" t="n"/>
      <c r="AH883" s="9" t="n"/>
      <c r="AI883" s="9" t="n"/>
      <c r="AJ883" s="9" t="n"/>
      <c r="AK883" s="9" t="n"/>
      <c r="AL883" s="9" t="n"/>
      <c r="AM883" s="10" t="n"/>
    </row>
    <row r="884" ht="12.75" customHeight="1" s="562">
      <c r="E884" s="55" t="n"/>
      <c r="N884" s="10" t="n"/>
      <c r="O884" s="6" t="n"/>
      <c r="T884" s="6" t="n"/>
      <c r="Z884" s="6" t="n"/>
      <c r="AB884" s="9" t="n"/>
      <c r="AC884" s="9" t="n"/>
      <c r="AD884" s="9" t="n"/>
      <c r="AE884" s="9" t="n"/>
      <c r="AF884" s="9" t="n"/>
      <c r="AG884" s="9" t="n"/>
      <c r="AH884" s="9" t="n"/>
      <c r="AI884" s="9" t="n"/>
      <c r="AJ884" s="9" t="n"/>
      <c r="AK884" s="9" t="n"/>
      <c r="AL884" s="9" t="n"/>
      <c r="AM884" s="10" t="n"/>
    </row>
    <row r="885" ht="12.75" customHeight="1" s="562">
      <c r="E885" s="55" t="n"/>
      <c r="N885" s="10" t="n"/>
      <c r="O885" s="6" t="n"/>
      <c r="T885" s="6" t="n"/>
      <c r="Z885" s="6" t="n"/>
      <c r="AB885" s="9" t="n"/>
      <c r="AC885" s="9" t="n"/>
      <c r="AD885" s="9" t="n"/>
      <c r="AE885" s="9" t="n"/>
      <c r="AF885" s="9" t="n"/>
      <c r="AG885" s="9" t="n"/>
      <c r="AH885" s="9" t="n"/>
      <c r="AI885" s="9" t="n"/>
      <c r="AJ885" s="9" t="n"/>
      <c r="AK885" s="9" t="n"/>
      <c r="AL885" s="9" t="n"/>
      <c r="AM885" s="10" t="n"/>
    </row>
    <row r="886" ht="12.75" customHeight="1" s="562">
      <c r="E886" s="55" t="n"/>
      <c r="N886" s="10" t="n"/>
      <c r="O886" s="6" t="n"/>
      <c r="T886" s="6" t="n"/>
      <c r="Z886" s="6" t="n"/>
      <c r="AB886" s="9" t="n"/>
      <c r="AC886" s="9" t="n"/>
      <c r="AD886" s="9" t="n"/>
      <c r="AE886" s="9" t="n"/>
      <c r="AF886" s="9" t="n"/>
      <c r="AG886" s="9" t="n"/>
      <c r="AH886" s="9" t="n"/>
      <c r="AI886" s="9" t="n"/>
      <c r="AJ886" s="9" t="n"/>
      <c r="AK886" s="9" t="n"/>
      <c r="AL886" s="9" t="n"/>
      <c r="AM886" s="10" t="n"/>
    </row>
    <row r="887" ht="12.75" customHeight="1" s="562">
      <c r="E887" s="55" t="n"/>
      <c r="N887" s="10" t="n"/>
      <c r="O887" s="6" t="n"/>
      <c r="T887" s="6" t="n"/>
      <c r="Z887" s="6" t="n"/>
      <c r="AB887" s="9" t="n"/>
      <c r="AC887" s="9" t="n"/>
      <c r="AD887" s="9" t="n"/>
      <c r="AE887" s="9" t="n"/>
      <c r="AF887" s="9" t="n"/>
      <c r="AG887" s="9" t="n"/>
      <c r="AH887" s="9" t="n"/>
      <c r="AI887" s="9" t="n"/>
      <c r="AJ887" s="9" t="n"/>
      <c r="AK887" s="9" t="n"/>
      <c r="AL887" s="9" t="n"/>
      <c r="AM887" s="10" t="n"/>
    </row>
    <row r="888" ht="12.75" customHeight="1" s="562">
      <c r="E888" s="55" t="n"/>
      <c r="N888" s="10" t="n"/>
      <c r="O888" s="6" t="n"/>
      <c r="T888" s="6" t="n"/>
      <c r="Z888" s="6" t="n"/>
      <c r="AB888" s="9" t="n"/>
      <c r="AC888" s="9" t="n"/>
      <c r="AD888" s="9" t="n"/>
      <c r="AE888" s="9" t="n"/>
      <c r="AF888" s="9" t="n"/>
      <c r="AG888" s="9" t="n"/>
      <c r="AH888" s="9" t="n"/>
      <c r="AI888" s="9" t="n"/>
      <c r="AJ888" s="9" t="n"/>
      <c r="AK888" s="9" t="n"/>
      <c r="AL888" s="9" t="n"/>
      <c r="AM888" s="10" t="n"/>
    </row>
    <row r="889" ht="12.75" customHeight="1" s="562">
      <c r="E889" s="55" t="n"/>
      <c r="N889" s="10" t="n"/>
      <c r="O889" s="6" t="n"/>
      <c r="T889" s="6" t="n"/>
      <c r="Z889" s="6" t="n"/>
      <c r="AB889" s="9" t="n"/>
      <c r="AC889" s="9" t="n"/>
      <c r="AD889" s="9" t="n"/>
      <c r="AE889" s="9" t="n"/>
      <c r="AF889" s="9" t="n"/>
      <c r="AG889" s="9" t="n"/>
      <c r="AH889" s="9" t="n"/>
      <c r="AI889" s="9" t="n"/>
      <c r="AJ889" s="9" t="n"/>
      <c r="AK889" s="9" t="n"/>
      <c r="AL889" s="9" t="n"/>
      <c r="AM889" s="10" t="n"/>
    </row>
    <row r="890" ht="12.75" customHeight="1" s="562">
      <c r="E890" s="55" t="n"/>
      <c r="N890" s="10" t="n"/>
      <c r="O890" s="6" t="n"/>
      <c r="T890" s="6" t="n"/>
      <c r="Z890" s="6" t="n"/>
      <c r="AB890" s="9" t="n"/>
      <c r="AC890" s="9" t="n"/>
      <c r="AD890" s="9" t="n"/>
      <c r="AE890" s="9" t="n"/>
      <c r="AF890" s="9" t="n"/>
      <c r="AG890" s="9" t="n"/>
      <c r="AH890" s="9" t="n"/>
      <c r="AI890" s="9" t="n"/>
      <c r="AJ890" s="9" t="n"/>
      <c r="AK890" s="9" t="n"/>
      <c r="AL890" s="9" t="n"/>
      <c r="AM890" s="10" t="n"/>
    </row>
    <row r="891" ht="12.75" customHeight="1" s="562">
      <c r="E891" s="55" t="n"/>
      <c r="N891" s="10" t="n"/>
      <c r="O891" s="6" t="n"/>
      <c r="T891" s="6" t="n"/>
      <c r="Z891" s="6" t="n"/>
      <c r="AB891" s="9" t="n"/>
      <c r="AC891" s="9" t="n"/>
      <c r="AD891" s="9" t="n"/>
      <c r="AE891" s="9" t="n"/>
      <c r="AF891" s="9" t="n"/>
      <c r="AG891" s="9" t="n"/>
      <c r="AH891" s="9" t="n"/>
      <c r="AI891" s="9" t="n"/>
      <c r="AJ891" s="9" t="n"/>
      <c r="AK891" s="9" t="n"/>
      <c r="AL891" s="9" t="n"/>
      <c r="AM891" s="10" t="n"/>
    </row>
    <row r="892" ht="12.75" customHeight="1" s="562">
      <c r="E892" s="55" t="n"/>
      <c r="N892" s="10" t="n"/>
      <c r="O892" s="6" t="n"/>
      <c r="T892" s="6" t="n"/>
      <c r="Z892" s="6" t="n"/>
      <c r="AB892" s="9" t="n"/>
      <c r="AC892" s="9" t="n"/>
      <c r="AD892" s="9" t="n"/>
      <c r="AE892" s="9" t="n"/>
      <c r="AF892" s="9" t="n"/>
      <c r="AG892" s="9" t="n"/>
      <c r="AH892" s="9" t="n"/>
      <c r="AI892" s="9" t="n"/>
      <c r="AJ892" s="9" t="n"/>
      <c r="AK892" s="9" t="n"/>
      <c r="AL892" s="9" t="n"/>
      <c r="AM892" s="10" t="n"/>
    </row>
    <row r="893" ht="12.75" customHeight="1" s="562">
      <c r="E893" s="55" t="n"/>
      <c r="N893" s="10" t="n"/>
      <c r="O893" s="6" t="n"/>
      <c r="T893" s="6" t="n"/>
      <c r="Z893" s="6" t="n"/>
      <c r="AB893" s="9" t="n"/>
      <c r="AC893" s="9" t="n"/>
      <c r="AD893" s="9" t="n"/>
      <c r="AE893" s="9" t="n"/>
      <c r="AF893" s="9" t="n"/>
      <c r="AG893" s="9" t="n"/>
      <c r="AH893" s="9" t="n"/>
      <c r="AI893" s="9" t="n"/>
      <c r="AJ893" s="9" t="n"/>
      <c r="AK893" s="9" t="n"/>
      <c r="AL893" s="9" t="n"/>
      <c r="AM893" s="10" t="n"/>
    </row>
    <row r="894" ht="12.75" customHeight="1" s="562">
      <c r="E894" s="55" t="n"/>
      <c r="N894" s="10" t="n"/>
      <c r="O894" s="6" t="n"/>
      <c r="T894" s="6" t="n"/>
      <c r="Z894" s="6" t="n"/>
      <c r="AB894" s="9" t="n"/>
      <c r="AC894" s="9" t="n"/>
      <c r="AD894" s="9" t="n"/>
      <c r="AE894" s="9" t="n"/>
      <c r="AF894" s="9" t="n"/>
      <c r="AG894" s="9" t="n"/>
      <c r="AH894" s="9" t="n"/>
      <c r="AI894" s="9" t="n"/>
      <c r="AJ894" s="9" t="n"/>
      <c r="AK894" s="9" t="n"/>
      <c r="AL894" s="9" t="n"/>
      <c r="AM894" s="10" t="n"/>
    </row>
    <row r="895" ht="12.75" customHeight="1" s="562">
      <c r="E895" s="55" t="n"/>
      <c r="N895" s="10" t="n"/>
      <c r="O895" s="6" t="n"/>
      <c r="T895" s="6" t="n"/>
      <c r="Z895" s="6" t="n"/>
      <c r="AB895" s="9" t="n"/>
      <c r="AC895" s="9" t="n"/>
      <c r="AD895" s="9" t="n"/>
      <c r="AE895" s="9" t="n"/>
      <c r="AF895" s="9" t="n"/>
      <c r="AG895" s="9" t="n"/>
      <c r="AH895" s="9" t="n"/>
      <c r="AI895" s="9" t="n"/>
      <c r="AJ895" s="9" t="n"/>
      <c r="AK895" s="9" t="n"/>
      <c r="AL895" s="9" t="n"/>
      <c r="AM895" s="10" t="n"/>
    </row>
    <row r="896" ht="12.75" customHeight="1" s="562">
      <c r="E896" s="55" t="n"/>
      <c r="N896" s="10" t="n"/>
      <c r="O896" s="6" t="n"/>
      <c r="T896" s="6" t="n"/>
      <c r="Z896" s="6" t="n"/>
      <c r="AB896" s="9" t="n"/>
      <c r="AC896" s="9" t="n"/>
      <c r="AD896" s="9" t="n"/>
      <c r="AE896" s="9" t="n"/>
      <c r="AF896" s="9" t="n"/>
      <c r="AG896" s="9" t="n"/>
      <c r="AH896" s="9" t="n"/>
      <c r="AI896" s="9" t="n"/>
      <c r="AJ896" s="9" t="n"/>
      <c r="AK896" s="9" t="n"/>
      <c r="AL896" s="9" t="n"/>
      <c r="AM896" s="10" t="n"/>
    </row>
    <row r="897" ht="12.75" customHeight="1" s="562">
      <c r="E897" s="55" t="n"/>
      <c r="N897" s="10" t="n"/>
      <c r="O897" s="6" t="n"/>
      <c r="T897" s="6" t="n"/>
      <c r="Z897" s="6" t="n"/>
      <c r="AB897" s="9" t="n"/>
      <c r="AC897" s="9" t="n"/>
      <c r="AD897" s="9" t="n"/>
      <c r="AE897" s="9" t="n"/>
      <c r="AF897" s="9" t="n"/>
      <c r="AG897" s="9" t="n"/>
      <c r="AH897" s="9" t="n"/>
      <c r="AI897" s="9" t="n"/>
      <c r="AJ897" s="9" t="n"/>
      <c r="AK897" s="9" t="n"/>
      <c r="AL897" s="9" t="n"/>
      <c r="AM897" s="10" t="n"/>
    </row>
    <row r="898" ht="12.75" customHeight="1" s="562">
      <c r="E898" s="55" t="n"/>
      <c r="N898" s="10" t="n"/>
      <c r="O898" s="6" t="n"/>
      <c r="T898" s="6" t="n"/>
      <c r="Z898" s="6" t="n"/>
      <c r="AB898" s="9" t="n"/>
      <c r="AC898" s="9" t="n"/>
      <c r="AD898" s="9" t="n"/>
      <c r="AE898" s="9" t="n"/>
      <c r="AF898" s="9" t="n"/>
      <c r="AG898" s="9" t="n"/>
      <c r="AH898" s="9" t="n"/>
      <c r="AI898" s="9" t="n"/>
      <c r="AJ898" s="9" t="n"/>
      <c r="AK898" s="9" t="n"/>
      <c r="AL898" s="9" t="n"/>
      <c r="AM898" s="10" t="n"/>
    </row>
    <row r="899" ht="12.75" customHeight="1" s="562">
      <c r="E899" s="55" t="n"/>
      <c r="N899" s="10" t="n"/>
      <c r="O899" s="6" t="n"/>
      <c r="T899" s="6" t="n"/>
      <c r="Z899" s="6" t="n"/>
      <c r="AB899" s="9" t="n"/>
      <c r="AC899" s="9" t="n"/>
      <c r="AD899" s="9" t="n"/>
      <c r="AE899" s="9" t="n"/>
      <c r="AF899" s="9" t="n"/>
      <c r="AG899" s="9" t="n"/>
      <c r="AH899" s="9" t="n"/>
      <c r="AI899" s="9" t="n"/>
      <c r="AJ899" s="9" t="n"/>
      <c r="AK899" s="9" t="n"/>
      <c r="AL899" s="9" t="n"/>
      <c r="AM899" s="10" t="n"/>
    </row>
    <row r="900" ht="12.75" customHeight="1" s="562">
      <c r="E900" s="55" t="n"/>
      <c r="N900" s="10" t="n"/>
      <c r="O900" s="6" t="n"/>
      <c r="T900" s="6" t="n"/>
      <c r="Z900" s="6" t="n"/>
      <c r="AB900" s="9" t="n"/>
      <c r="AC900" s="9" t="n"/>
      <c r="AD900" s="9" t="n"/>
      <c r="AE900" s="9" t="n"/>
      <c r="AF900" s="9" t="n"/>
      <c r="AG900" s="9" t="n"/>
      <c r="AH900" s="9" t="n"/>
      <c r="AI900" s="9" t="n"/>
      <c r="AJ900" s="9" t="n"/>
      <c r="AK900" s="9" t="n"/>
      <c r="AL900" s="9" t="n"/>
      <c r="AM900" s="10" t="n"/>
    </row>
    <row r="901" ht="12.75" customHeight="1" s="562">
      <c r="E901" s="55" t="n"/>
      <c r="N901" s="10" t="n"/>
      <c r="O901" s="6" t="n"/>
      <c r="T901" s="6" t="n"/>
      <c r="Z901" s="6" t="n"/>
      <c r="AB901" s="9" t="n"/>
      <c r="AC901" s="9" t="n"/>
      <c r="AD901" s="9" t="n"/>
      <c r="AE901" s="9" t="n"/>
      <c r="AF901" s="9" t="n"/>
      <c r="AG901" s="9" t="n"/>
      <c r="AH901" s="9" t="n"/>
      <c r="AI901" s="9" t="n"/>
      <c r="AJ901" s="9" t="n"/>
      <c r="AK901" s="9" t="n"/>
      <c r="AL901" s="9" t="n"/>
      <c r="AM901" s="10" t="n"/>
    </row>
    <row r="902" ht="12.75" customHeight="1" s="562">
      <c r="E902" s="55" t="n"/>
      <c r="N902" s="10" t="n"/>
      <c r="O902" s="6" t="n"/>
      <c r="T902" s="6" t="n"/>
      <c r="Z902" s="6" t="n"/>
      <c r="AB902" s="9" t="n"/>
      <c r="AC902" s="9" t="n"/>
      <c r="AD902" s="9" t="n"/>
      <c r="AE902" s="9" t="n"/>
      <c r="AF902" s="9" t="n"/>
      <c r="AG902" s="9" t="n"/>
      <c r="AH902" s="9" t="n"/>
      <c r="AI902" s="9" t="n"/>
      <c r="AJ902" s="9" t="n"/>
      <c r="AK902" s="9" t="n"/>
      <c r="AL902" s="9" t="n"/>
      <c r="AM902" s="10" t="n"/>
    </row>
    <row r="903" ht="12.75" customHeight="1" s="562">
      <c r="E903" s="55" t="n"/>
      <c r="N903" s="10" t="n"/>
      <c r="O903" s="6" t="n"/>
      <c r="T903" s="6" t="n"/>
      <c r="Z903" s="6" t="n"/>
      <c r="AB903" s="9" t="n"/>
      <c r="AC903" s="9" t="n"/>
      <c r="AD903" s="9" t="n"/>
      <c r="AE903" s="9" t="n"/>
      <c r="AF903" s="9" t="n"/>
      <c r="AG903" s="9" t="n"/>
      <c r="AH903" s="9" t="n"/>
      <c r="AI903" s="9" t="n"/>
      <c r="AJ903" s="9" t="n"/>
      <c r="AK903" s="9" t="n"/>
      <c r="AL903" s="9" t="n"/>
      <c r="AM903" s="10" t="n"/>
    </row>
    <row r="904" ht="12.75" customHeight="1" s="562">
      <c r="E904" s="55" t="n"/>
      <c r="N904" s="10" t="n"/>
      <c r="O904" s="6" t="n"/>
      <c r="T904" s="6" t="n"/>
      <c r="Z904" s="6" t="n"/>
      <c r="AB904" s="9" t="n"/>
      <c r="AC904" s="9" t="n"/>
      <c r="AD904" s="9" t="n"/>
      <c r="AE904" s="9" t="n"/>
      <c r="AF904" s="9" t="n"/>
      <c r="AG904" s="9" t="n"/>
      <c r="AH904" s="9" t="n"/>
      <c r="AI904" s="9" t="n"/>
      <c r="AJ904" s="9" t="n"/>
      <c r="AK904" s="9" t="n"/>
      <c r="AL904" s="9" t="n"/>
      <c r="AM904" s="10" t="n"/>
    </row>
    <row r="905" ht="12.75" customHeight="1" s="562">
      <c r="E905" s="55" t="n"/>
      <c r="N905" s="10" t="n"/>
      <c r="O905" s="6" t="n"/>
      <c r="T905" s="6" t="n"/>
      <c r="Z905" s="6" t="n"/>
      <c r="AB905" s="9" t="n"/>
      <c r="AC905" s="9" t="n"/>
      <c r="AD905" s="9" t="n"/>
      <c r="AE905" s="9" t="n"/>
      <c r="AF905" s="9" t="n"/>
      <c r="AG905" s="9" t="n"/>
      <c r="AH905" s="9" t="n"/>
      <c r="AI905" s="9" t="n"/>
      <c r="AJ905" s="9" t="n"/>
      <c r="AK905" s="9" t="n"/>
      <c r="AL905" s="9" t="n"/>
      <c r="AM905" s="10" t="n"/>
    </row>
    <row r="906" ht="12.75" customHeight="1" s="562">
      <c r="E906" s="55" t="n"/>
      <c r="N906" s="10" t="n"/>
      <c r="O906" s="6" t="n"/>
      <c r="T906" s="6" t="n"/>
      <c r="Z906" s="6" t="n"/>
      <c r="AB906" s="9" t="n"/>
      <c r="AC906" s="9" t="n"/>
      <c r="AD906" s="9" t="n"/>
      <c r="AE906" s="9" t="n"/>
      <c r="AF906" s="9" t="n"/>
      <c r="AG906" s="9" t="n"/>
      <c r="AH906" s="9" t="n"/>
      <c r="AI906" s="9" t="n"/>
      <c r="AJ906" s="9" t="n"/>
      <c r="AK906" s="9" t="n"/>
      <c r="AL906" s="9" t="n"/>
      <c r="AM906" s="10" t="n"/>
    </row>
    <row r="907" ht="12.75" customHeight="1" s="562">
      <c r="E907" s="55" t="n"/>
      <c r="N907" s="10" t="n"/>
      <c r="O907" s="6" t="n"/>
      <c r="T907" s="6" t="n"/>
      <c r="Z907" s="6" t="n"/>
      <c r="AB907" s="9" t="n"/>
      <c r="AC907" s="9" t="n"/>
      <c r="AD907" s="9" t="n"/>
      <c r="AE907" s="9" t="n"/>
      <c r="AF907" s="9" t="n"/>
      <c r="AG907" s="9" t="n"/>
      <c r="AH907" s="9" t="n"/>
      <c r="AI907" s="9" t="n"/>
      <c r="AJ907" s="9" t="n"/>
      <c r="AK907" s="9" t="n"/>
      <c r="AL907" s="9" t="n"/>
      <c r="AM907" s="10" t="n"/>
    </row>
    <row r="908" ht="12.75" customHeight="1" s="562">
      <c r="E908" s="55" t="n"/>
      <c r="N908" s="10" t="n"/>
      <c r="O908" s="6" t="n"/>
      <c r="T908" s="6" t="n"/>
      <c r="Z908" s="6" t="n"/>
      <c r="AB908" s="9" t="n"/>
      <c r="AC908" s="9" t="n"/>
      <c r="AD908" s="9" t="n"/>
      <c r="AE908" s="9" t="n"/>
      <c r="AF908" s="9" t="n"/>
      <c r="AG908" s="9" t="n"/>
      <c r="AH908" s="9" t="n"/>
      <c r="AI908" s="9" t="n"/>
      <c r="AJ908" s="9" t="n"/>
      <c r="AK908" s="9" t="n"/>
      <c r="AL908" s="9" t="n"/>
      <c r="AM908" s="10" t="n"/>
    </row>
    <row r="909" ht="12.75" customHeight="1" s="562">
      <c r="E909" s="55" t="n"/>
      <c r="N909" s="10" t="n"/>
      <c r="O909" s="6" t="n"/>
      <c r="T909" s="6" t="n"/>
      <c r="Z909" s="6" t="n"/>
      <c r="AB909" s="9" t="n"/>
      <c r="AC909" s="9" t="n"/>
      <c r="AD909" s="9" t="n"/>
      <c r="AE909" s="9" t="n"/>
      <c r="AF909" s="9" t="n"/>
      <c r="AG909" s="9" t="n"/>
      <c r="AH909" s="9" t="n"/>
      <c r="AI909" s="9" t="n"/>
      <c r="AJ909" s="9" t="n"/>
      <c r="AK909" s="9" t="n"/>
      <c r="AL909" s="9" t="n"/>
      <c r="AM909" s="10" t="n"/>
    </row>
    <row r="910" ht="12.75" customHeight="1" s="562">
      <c r="E910" s="55" t="n"/>
      <c r="N910" s="10" t="n"/>
      <c r="O910" s="6" t="n"/>
      <c r="T910" s="6" t="n"/>
      <c r="Z910" s="6" t="n"/>
      <c r="AB910" s="9" t="n"/>
      <c r="AC910" s="9" t="n"/>
      <c r="AD910" s="9" t="n"/>
      <c r="AE910" s="9" t="n"/>
      <c r="AF910" s="9" t="n"/>
      <c r="AG910" s="9" t="n"/>
      <c r="AH910" s="9" t="n"/>
      <c r="AI910" s="9" t="n"/>
      <c r="AJ910" s="9" t="n"/>
      <c r="AK910" s="9" t="n"/>
      <c r="AL910" s="9" t="n"/>
      <c r="AM910" s="10" t="n"/>
    </row>
    <row r="911" ht="12.75" customHeight="1" s="562">
      <c r="E911" s="55" t="n"/>
      <c r="N911" s="10" t="n"/>
      <c r="O911" s="6" t="n"/>
      <c r="T911" s="6" t="n"/>
      <c r="Z911" s="6" t="n"/>
      <c r="AB911" s="9" t="n"/>
      <c r="AC911" s="9" t="n"/>
      <c r="AD911" s="9" t="n"/>
      <c r="AE911" s="9" t="n"/>
      <c r="AF911" s="9" t="n"/>
      <c r="AG911" s="9" t="n"/>
      <c r="AH911" s="9" t="n"/>
      <c r="AI911" s="9" t="n"/>
      <c r="AJ911" s="9" t="n"/>
      <c r="AK911" s="9" t="n"/>
      <c r="AL911" s="9" t="n"/>
      <c r="AM911" s="10" t="n"/>
    </row>
    <row r="912" ht="12.75" customHeight="1" s="562">
      <c r="E912" s="55" t="n"/>
      <c r="N912" s="10" t="n"/>
      <c r="O912" s="6" t="n"/>
      <c r="T912" s="6" t="n"/>
      <c r="Z912" s="6" t="n"/>
      <c r="AB912" s="9" t="n"/>
      <c r="AC912" s="9" t="n"/>
      <c r="AD912" s="9" t="n"/>
      <c r="AE912" s="9" t="n"/>
      <c r="AF912" s="9" t="n"/>
      <c r="AG912" s="9" t="n"/>
      <c r="AH912" s="9" t="n"/>
      <c r="AI912" s="9" t="n"/>
      <c r="AJ912" s="9" t="n"/>
      <c r="AK912" s="9" t="n"/>
      <c r="AL912" s="9" t="n"/>
      <c r="AM912" s="10" t="n"/>
    </row>
    <row r="913" ht="12.75" customHeight="1" s="562">
      <c r="E913" s="55" t="n"/>
      <c r="N913" s="10" t="n"/>
      <c r="O913" s="6" t="n"/>
      <c r="T913" s="6" t="n"/>
      <c r="Z913" s="6" t="n"/>
      <c r="AB913" s="9" t="n"/>
      <c r="AC913" s="9" t="n"/>
      <c r="AD913" s="9" t="n"/>
      <c r="AE913" s="9" t="n"/>
      <c r="AF913" s="9" t="n"/>
      <c r="AG913" s="9" t="n"/>
      <c r="AH913" s="9" t="n"/>
      <c r="AI913" s="9" t="n"/>
      <c r="AJ913" s="9" t="n"/>
      <c r="AK913" s="9" t="n"/>
      <c r="AL913" s="9" t="n"/>
      <c r="AM913" s="10" t="n"/>
    </row>
    <row r="914" ht="12.75" customHeight="1" s="562">
      <c r="E914" s="55" t="n"/>
      <c r="N914" s="10" t="n"/>
      <c r="O914" s="6" t="n"/>
      <c r="T914" s="6" t="n"/>
      <c r="Z914" s="6" t="n"/>
      <c r="AB914" s="9" t="n"/>
      <c r="AC914" s="9" t="n"/>
      <c r="AD914" s="9" t="n"/>
      <c r="AE914" s="9" t="n"/>
      <c r="AF914" s="9" t="n"/>
      <c r="AG914" s="9" t="n"/>
      <c r="AH914" s="9" t="n"/>
      <c r="AI914" s="9" t="n"/>
      <c r="AJ914" s="9" t="n"/>
      <c r="AK914" s="9" t="n"/>
      <c r="AL914" s="9" t="n"/>
      <c r="AM914" s="10" t="n"/>
    </row>
    <row r="915" ht="12.75" customHeight="1" s="562">
      <c r="E915" s="55" t="n"/>
      <c r="N915" s="10" t="n"/>
      <c r="O915" s="6" t="n"/>
      <c r="T915" s="6" t="n"/>
      <c r="Z915" s="6" t="n"/>
      <c r="AB915" s="9" t="n"/>
      <c r="AC915" s="9" t="n"/>
      <c r="AD915" s="9" t="n"/>
      <c r="AE915" s="9" t="n"/>
      <c r="AF915" s="9" t="n"/>
      <c r="AG915" s="9" t="n"/>
      <c r="AH915" s="9" t="n"/>
      <c r="AI915" s="9" t="n"/>
      <c r="AJ915" s="9" t="n"/>
      <c r="AK915" s="9" t="n"/>
      <c r="AL915" s="9" t="n"/>
      <c r="AM915" s="10" t="n"/>
    </row>
    <row r="916" ht="12.75" customHeight="1" s="562">
      <c r="E916" s="55" t="n"/>
      <c r="N916" s="10" t="n"/>
      <c r="O916" s="6" t="n"/>
      <c r="T916" s="6" t="n"/>
      <c r="Z916" s="6" t="n"/>
      <c r="AB916" s="9" t="n"/>
      <c r="AC916" s="9" t="n"/>
      <c r="AD916" s="9" t="n"/>
      <c r="AE916" s="9" t="n"/>
      <c r="AF916" s="9" t="n"/>
      <c r="AG916" s="9" t="n"/>
      <c r="AH916" s="9" t="n"/>
      <c r="AI916" s="9" t="n"/>
      <c r="AJ916" s="9" t="n"/>
      <c r="AK916" s="9" t="n"/>
      <c r="AL916" s="9" t="n"/>
      <c r="AM916" s="10" t="n"/>
    </row>
    <row r="917" ht="12.75" customHeight="1" s="562">
      <c r="E917" s="55" t="n"/>
      <c r="N917" s="10" t="n"/>
      <c r="O917" s="6" t="n"/>
      <c r="T917" s="6" t="n"/>
      <c r="Z917" s="6" t="n"/>
      <c r="AB917" s="9" t="n"/>
      <c r="AC917" s="9" t="n"/>
      <c r="AD917" s="9" t="n"/>
      <c r="AE917" s="9" t="n"/>
      <c r="AF917" s="9" t="n"/>
      <c r="AG917" s="9" t="n"/>
      <c r="AH917" s="9" t="n"/>
      <c r="AI917" s="9" t="n"/>
      <c r="AJ917" s="9" t="n"/>
      <c r="AK917" s="9" t="n"/>
      <c r="AL917" s="9" t="n"/>
      <c r="AM917" s="10" t="n"/>
    </row>
    <row r="918" ht="12.75" customHeight="1" s="562">
      <c r="E918" s="55" t="n"/>
      <c r="N918" s="10" t="n"/>
      <c r="O918" s="6" t="n"/>
      <c r="T918" s="6" t="n"/>
      <c r="Z918" s="6" t="n"/>
      <c r="AB918" s="9" t="n"/>
      <c r="AC918" s="9" t="n"/>
      <c r="AD918" s="9" t="n"/>
      <c r="AE918" s="9" t="n"/>
      <c r="AF918" s="9" t="n"/>
      <c r="AG918" s="9" t="n"/>
      <c r="AH918" s="9" t="n"/>
      <c r="AI918" s="9" t="n"/>
      <c r="AJ918" s="9" t="n"/>
      <c r="AK918" s="9" t="n"/>
      <c r="AL918" s="9" t="n"/>
      <c r="AM918" s="10" t="n"/>
    </row>
    <row r="919" ht="12.75" customHeight="1" s="562">
      <c r="E919" s="55" t="n"/>
      <c r="N919" s="10" t="n"/>
      <c r="O919" s="6" t="n"/>
      <c r="T919" s="6" t="n"/>
      <c r="Z919" s="6" t="n"/>
      <c r="AB919" s="9" t="n"/>
      <c r="AC919" s="9" t="n"/>
      <c r="AD919" s="9" t="n"/>
      <c r="AE919" s="9" t="n"/>
      <c r="AF919" s="9" t="n"/>
      <c r="AG919" s="9" t="n"/>
      <c r="AH919" s="9" t="n"/>
      <c r="AI919" s="9" t="n"/>
      <c r="AJ919" s="9" t="n"/>
      <c r="AK919" s="9" t="n"/>
      <c r="AL919" s="9" t="n"/>
      <c r="AM919" s="10" t="n"/>
    </row>
    <row r="920" ht="12.75" customHeight="1" s="562">
      <c r="E920" s="55" t="n"/>
      <c r="N920" s="10" t="n"/>
      <c r="O920" s="6" t="n"/>
      <c r="T920" s="6" t="n"/>
      <c r="Z920" s="6" t="n"/>
      <c r="AB920" s="9" t="n"/>
      <c r="AC920" s="9" t="n"/>
      <c r="AD920" s="9" t="n"/>
      <c r="AE920" s="9" t="n"/>
      <c r="AF920" s="9" t="n"/>
      <c r="AG920" s="9" t="n"/>
      <c r="AH920" s="9" t="n"/>
      <c r="AI920" s="9" t="n"/>
      <c r="AJ920" s="9" t="n"/>
      <c r="AK920" s="9" t="n"/>
      <c r="AL920" s="9" t="n"/>
      <c r="AM920" s="10" t="n"/>
    </row>
    <row r="921" ht="12.75" customHeight="1" s="562">
      <c r="E921" s="55" t="n"/>
      <c r="N921" s="10" t="n"/>
      <c r="O921" s="6" t="n"/>
      <c r="T921" s="6" t="n"/>
      <c r="Z921" s="6" t="n"/>
      <c r="AB921" s="9" t="n"/>
      <c r="AC921" s="9" t="n"/>
      <c r="AD921" s="9" t="n"/>
      <c r="AE921" s="9" t="n"/>
      <c r="AF921" s="9" t="n"/>
      <c r="AG921" s="9" t="n"/>
      <c r="AH921" s="9" t="n"/>
      <c r="AI921" s="9" t="n"/>
      <c r="AJ921" s="9" t="n"/>
      <c r="AK921" s="9" t="n"/>
      <c r="AL921" s="9" t="n"/>
      <c r="AM921" s="10" t="n"/>
    </row>
    <row r="922" ht="12.75" customHeight="1" s="562">
      <c r="E922" s="55" t="n"/>
      <c r="N922" s="10" t="n"/>
      <c r="O922" s="6" t="n"/>
      <c r="T922" s="6" t="n"/>
      <c r="Z922" s="6" t="n"/>
      <c r="AB922" s="9" t="n"/>
      <c r="AC922" s="9" t="n"/>
      <c r="AD922" s="9" t="n"/>
      <c r="AE922" s="9" t="n"/>
      <c r="AF922" s="9" t="n"/>
      <c r="AG922" s="9" t="n"/>
      <c r="AH922" s="9" t="n"/>
      <c r="AI922" s="9" t="n"/>
      <c r="AJ922" s="9" t="n"/>
      <c r="AK922" s="9" t="n"/>
      <c r="AL922" s="9" t="n"/>
      <c r="AM922" s="10" t="n"/>
    </row>
    <row r="923" ht="12.75" customHeight="1" s="562">
      <c r="E923" s="55" t="n"/>
      <c r="N923" s="10" t="n"/>
      <c r="O923" s="6" t="n"/>
      <c r="T923" s="6" t="n"/>
      <c r="Z923" s="6" t="n"/>
      <c r="AB923" s="9" t="n"/>
      <c r="AC923" s="9" t="n"/>
      <c r="AD923" s="9" t="n"/>
      <c r="AE923" s="9" t="n"/>
      <c r="AF923" s="9" t="n"/>
      <c r="AG923" s="9" t="n"/>
      <c r="AH923" s="9" t="n"/>
      <c r="AI923" s="9" t="n"/>
      <c r="AJ923" s="9" t="n"/>
      <c r="AK923" s="9" t="n"/>
      <c r="AL923" s="9" t="n"/>
      <c r="AM923" s="10" t="n"/>
    </row>
    <row r="924" ht="12.75" customHeight="1" s="562">
      <c r="E924" s="55" t="n"/>
      <c r="N924" s="10" t="n"/>
      <c r="O924" s="6" t="n"/>
      <c r="T924" s="6" t="n"/>
      <c r="Z924" s="6" t="n"/>
      <c r="AB924" s="9" t="n"/>
      <c r="AC924" s="9" t="n"/>
      <c r="AD924" s="9" t="n"/>
      <c r="AE924" s="9" t="n"/>
      <c r="AF924" s="9" t="n"/>
      <c r="AG924" s="9" t="n"/>
      <c r="AH924" s="9" t="n"/>
      <c r="AI924" s="9" t="n"/>
      <c r="AJ924" s="9" t="n"/>
      <c r="AK924" s="9" t="n"/>
      <c r="AL924" s="9" t="n"/>
      <c r="AM924" s="10" t="n"/>
    </row>
    <row r="925" ht="12.75" customHeight="1" s="562">
      <c r="E925" s="55" t="n"/>
      <c r="N925" s="10" t="n"/>
      <c r="O925" s="6" t="n"/>
      <c r="T925" s="6" t="n"/>
      <c r="Z925" s="6" t="n"/>
      <c r="AB925" s="9" t="n"/>
      <c r="AC925" s="9" t="n"/>
      <c r="AD925" s="9" t="n"/>
      <c r="AE925" s="9" t="n"/>
      <c r="AF925" s="9" t="n"/>
      <c r="AG925" s="9" t="n"/>
      <c r="AH925" s="9" t="n"/>
      <c r="AI925" s="9" t="n"/>
      <c r="AJ925" s="9" t="n"/>
      <c r="AK925" s="9" t="n"/>
      <c r="AL925" s="9" t="n"/>
      <c r="AM925" s="10" t="n"/>
    </row>
    <row r="926" ht="12.75" customHeight="1" s="562">
      <c r="E926" s="55" t="n"/>
      <c r="N926" s="10" t="n"/>
      <c r="O926" s="6" t="n"/>
      <c r="T926" s="6" t="n"/>
      <c r="Z926" s="6" t="n"/>
      <c r="AB926" s="9" t="n"/>
      <c r="AC926" s="9" t="n"/>
      <c r="AD926" s="9" t="n"/>
      <c r="AE926" s="9" t="n"/>
      <c r="AF926" s="9" t="n"/>
      <c r="AG926" s="9" t="n"/>
      <c r="AH926" s="9" t="n"/>
      <c r="AI926" s="9" t="n"/>
      <c r="AJ926" s="9" t="n"/>
      <c r="AK926" s="9" t="n"/>
      <c r="AL926" s="9" t="n"/>
      <c r="AM926" s="10" t="n"/>
    </row>
    <row r="927" ht="12.75" customHeight="1" s="562">
      <c r="E927" s="55" t="n"/>
      <c r="N927" s="10" t="n"/>
      <c r="O927" s="6" t="n"/>
      <c r="T927" s="6" t="n"/>
      <c r="Z927" s="6" t="n"/>
      <c r="AB927" s="9" t="n"/>
      <c r="AC927" s="9" t="n"/>
      <c r="AD927" s="9" t="n"/>
      <c r="AE927" s="9" t="n"/>
      <c r="AF927" s="9" t="n"/>
      <c r="AG927" s="9" t="n"/>
      <c r="AH927" s="9" t="n"/>
      <c r="AI927" s="9" t="n"/>
      <c r="AJ927" s="9" t="n"/>
      <c r="AK927" s="9" t="n"/>
      <c r="AL927" s="9" t="n"/>
      <c r="AM927" s="10" t="n"/>
    </row>
    <row r="928" ht="12.75" customHeight="1" s="562">
      <c r="E928" s="55" t="n"/>
      <c r="N928" s="10" t="n"/>
      <c r="O928" s="6" t="n"/>
      <c r="T928" s="6" t="n"/>
      <c r="Z928" s="6" t="n"/>
      <c r="AB928" s="9" t="n"/>
      <c r="AC928" s="9" t="n"/>
      <c r="AD928" s="9" t="n"/>
      <c r="AE928" s="9" t="n"/>
      <c r="AF928" s="9" t="n"/>
      <c r="AG928" s="9" t="n"/>
      <c r="AH928" s="9" t="n"/>
      <c r="AI928" s="9" t="n"/>
      <c r="AJ928" s="9" t="n"/>
      <c r="AK928" s="9" t="n"/>
      <c r="AL928" s="9" t="n"/>
      <c r="AM928" s="10" t="n"/>
    </row>
    <row r="929" ht="12.75" customHeight="1" s="562">
      <c r="E929" s="55" t="n"/>
      <c r="N929" s="10" t="n"/>
      <c r="O929" s="6" t="n"/>
      <c r="T929" s="6" t="n"/>
      <c r="Z929" s="6" t="n"/>
      <c r="AB929" s="9" t="n"/>
      <c r="AC929" s="9" t="n"/>
      <c r="AD929" s="9" t="n"/>
      <c r="AE929" s="9" t="n"/>
      <c r="AF929" s="9" t="n"/>
      <c r="AG929" s="9" t="n"/>
      <c r="AH929" s="9" t="n"/>
      <c r="AI929" s="9" t="n"/>
      <c r="AJ929" s="9" t="n"/>
      <c r="AK929" s="9" t="n"/>
      <c r="AL929" s="9" t="n"/>
      <c r="AM929" s="10" t="n"/>
    </row>
    <row r="930" ht="12.75" customHeight="1" s="562">
      <c r="E930" s="55" t="n"/>
      <c r="N930" s="10" t="n"/>
      <c r="O930" s="6" t="n"/>
      <c r="T930" s="6" t="n"/>
      <c r="Z930" s="6" t="n"/>
      <c r="AB930" s="9" t="n"/>
      <c r="AC930" s="9" t="n"/>
      <c r="AD930" s="9" t="n"/>
      <c r="AE930" s="9" t="n"/>
      <c r="AF930" s="9" t="n"/>
      <c r="AG930" s="9" t="n"/>
      <c r="AH930" s="9" t="n"/>
      <c r="AI930" s="9" t="n"/>
      <c r="AJ930" s="9" t="n"/>
      <c r="AK930" s="9" t="n"/>
      <c r="AL930" s="9" t="n"/>
      <c r="AM930" s="10" t="n"/>
    </row>
    <row r="931" ht="12.75" customHeight="1" s="562">
      <c r="E931" s="55" t="n"/>
      <c r="N931" s="10" t="n"/>
      <c r="O931" s="6" t="n"/>
      <c r="T931" s="6" t="n"/>
      <c r="Z931" s="6" t="n"/>
      <c r="AB931" s="9" t="n"/>
      <c r="AC931" s="9" t="n"/>
      <c r="AD931" s="9" t="n"/>
      <c r="AE931" s="9" t="n"/>
      <c r="AF931" s="9" t="n"/>
      <c r="AG931" s="9" t="n"/>
      <c r="AH931" s="9" t="n"/>
      <c r="AI931" s="9" t="n"/>
      <c r="AJ931" s="9" t="n"/>
      <c r="AK931" s="9" t="n"/>
      <c r="AL931" s="9" t="n"/>
      <c r="AM931" s="10" t="n"/>
    </row>
    <row r="932" ht="12.75" customHeight="1" s="562">
      <c r="E932" s="55" t="n"/>
      <c r="N932" s="10" t="n"/>
      <c r="O932" s="6" t="n"/>
      <c r="T932" s="6" t="n"/>
      <c r="Z932" s="6" t="n"/>
      <c r="AB932" s="9" t="n"/>
      <c r="AC932" s="9" t="n"/>
      <c r="AD932" s="9" t="n"/>
      <c r="AE932" s="9" t="n"/>
      <c r="AF932" s="9" t="n"/>
      <c r="AG932" s="9" t="n"/>
      <c r="AH932" s="9" t="n"/>
      <c r="AI932" s="9" t="n"/>
      <c r="AJ932" s="9" t="n"/>
      <c r="AK932" s="9" t="n"/>
      <c r="AL932" s="9" t="n"/>
      <c r="AM932" s="10" t="n"/>
    </row>
    <row r="933" ht="12.75" customHeight="1" s="562">
      <c r="E933" s="55" t="n"/>
      <c r="N933" s="10" t="n"/>
      <c r="O933" s="6" t="n"/>
      <c r="T933" s="6" t="n"/>
      <c r="Z933" s="6" t="n"/>
      <c r="AB933" s="9" t="n"/>
      <c r="AC933" s="9" t="n"/>
      <c r="AD933" s="9" t="n"/>
      <c r="AE933" s="9" t="n"/>
      <c r="AF933" s="9" t="n"/>
      <c r="AG933" s="9" t="n"/>
      <c r="AH933" s="9" t="n"/>
      <c r="AI933" s="9" t="n"/>
      <c r="AJ933" s="9" t="n"/>
      <c r="AK933" s="9" t="n"/>
      <c r="AL933" s="9" t="n"/>
      <c r="AM933" s="10" t="n"/>
    </row>
    <row r="934" ht="12.75" customHeight="1" s="562">
      <c r="E934" s="55" t="n"/>
      <c r="N934" s="10" t="n"/>
      <c r="O934" s="6" t="n"/>
      <c r="T934" s="6" t="n"/>
      <c r="Z934" s="6" t="n"/>
      <c r="AB934" s="9" t="n"/>
      <c r="AC934" s="9" t="n"/>
      <c r="AD934" s="9" t="n"/>
      <c r="AE934" s="9" t="n"/>
      <c r="AF934" s="9" t="n"/>
      <c r="AG934" s="9" t="n"/>
      <c r="AH934" s="9" t="n"/>
      <c r="AI934" s="9" t="n"/>
      <c r="AJ934" s="9" t="n"/>
      <c r="AK934" s="9" t="n"/>
      <c r="AL934" s="9" t="n"/>
      <c r="AM934" s="10" t="n"/>
    </row>
    <row r="935" ht="12.75" customHeight="1" s="562">
      <c r="E935" s="55" t="n"/>
      <c r="N935" s="10" t="n"/>
      <c r="O935" s="6" t="n"/>
      <c r="T935" s="6" t="n"/>
      <c r="Z935" s="6" t="n"/>
      <c r="AB935" s="9" t="n"/>
      <c r="AC935" s="9" t="n"/>
      <c r="AD935" s="9" t="n"/>
      <c r="AE935" s="9" t="n"/>
      <c r="AF935" s="9" t="n"/>
      <c r="AG935" s="9" t="n"/>
      <c r="AH935" s="9" t="n"/>
      <c r="AI935" s="9" t="n"/>
      <c r="AJ935" s="9" t="n"/>
      <c r="AK935" s="9" t="n"/>
      <c r="AL935" s="9" t="n"/>
      <c r="AM935" s="10" t="n"/>
    </row>
    <row r="936" ht="12.75" customHeight="1" s="562">
      <c r="E936" s="55" t="n"/>
      <c r="N936" s="10" t="n"/>
      <c r="O936" s="6" t="n"/>
      <c r="T936" s="6" t="n"/>
      <c r="Z936" s="6" t="n"/>
      <c r="AB936" s="9" t="n"/>
      <c r="AC936" s="9" t="n"/>
      <c r="AD936" s="9" t="n"/>
      <c r="AE936" s="9" t="n"/>
      <c r="AF936" s="9" t="n"/>
      <c r="AG936" s="9" t="n"/>
      <c r="AH936" s="9" t="n"/>
      <c r="AI936" s="9" t="n"/>
      <c r="AJ936" s="9" t="n"/>
      <c r="AK936" s="9" t="n"/>
      <c r="AL936" s="9" t="n"/>
      <c r="AM936" s="10" t="n"/>
    </row>
    <row r="937" ht="12.75" customHeight="1" s="562">
      <c r="E937" s="55" t="n"/>
      <c r="N937" s="10" t="n"/>
      <c r="O937" s="6" t="n"/>
      <c r="T937" s="6" t="n"/>
      <c r="Z937" s="6" t="n"/>
      <c r="AB937" s="9" t="n"/>
      <c r="AC937" s="9" t="n"/>
      <c r="AD937" s="9" t="n"/>
      <c r="AE937" s="9" t="n"/>
      <c r="AF937" s="9" t="n"/>
      <c r="AG937" s="9" t="n"/>
      <c r="AH937" s="9" t="n"/>
      <c r="AI937" s="9" t="n"/>
      <c r="AJ937" s="9" t="n"/>
      <c r="AK937" s="9" t="n"/>
      <c r="AL937" s="9" t="n"/>
      <c r="AM937" s="10" t="n"/>
    </row>
    <row r="938" ht="12.75" customHeight="1" s="562">
      <c r="E938" s="55" t="n"/>
      <c r="N938" s="10" t="n"/>
      <c r="O938" s="6" t="n"/>
      <c r="T938" s="6" t="n"/>
      <c r="Z938" s="6" t="n"/>
      <c r="AB938" s="9" t="n"/>
      <c r="AC938" s="9" t="n"/>
      <c r="AD938" s="9" t="n"/>
      <c r="AE938" s="9" t="n"/>
      <c r="AF938" s="9" t="n"/>
      <c r="AG938" s="9" t="n"/>
      <c r="AH938" s="9" t="n"/>
      <c r="AI938" s="9" t="n"/>
      <c r="AJ938" s="9" t="n"/>
      <c r="AK938" s="9" t="n"/>
      <c r="AL938" s="9" t="n"/>
      <c r="AM938" s="10" t="n"/>
    </row>
    <row r="939" ht="12.75" customHeight="1" s="562">
      <c r="E939" s="55" t="n"/>
      <c r="N939" s="10" t="n"/>
      <c r="O939" s="6" t="n"/>
      <c r="T939" s="6" t="n"/>
      <c r="Z939" s="6" t="n"/>
      <c r="AB939" s="9" t="n"/>
      <c r="AC939" s="9" t="n"/>
      <c r="AD939" s="9" t="n"/>
      <c r="AE939" s="9" t="n"/>
      <c r="AF939" s="9" t="n"/>
      <c r="AG939" s="9" t="n"/>
      <c r="AH939" s="9" t="n"/>
      <c r="AI939" s="9" t="n"/>
      <c r="AJ939" s="9" t="n"/>
      <c r="AK939" s="9" t="n"/>
      <c r="AL939" s="9" t="n"/>
      <c r="AM939" s="10" t="n"/>
    </row>
    <row r="940" ht="12.75" customHeight="1" s="562">
      <c r="E940" s="55" t="n"/>
      <c r="N940" s="10" t="n"/>
      <c r="O940" s="6" t="n"/>
      <c r="T940" s="6" t="n"/>
      <c r="Z940" s="6" t="n"/>
      <c r="AB940" s="9" t="n"/>
      <c r="AC940" s="9" t="n"/>
      <c r="AD940" s="9" t="n"/>
      <c r="AE940" s="9" t="n"/>
      <c r="AF940" s="9" t="n"/>
      <c r="AG940" s="9" t="n"/>
      <c r="AH940" s="9" t="n"/>
      <c r="AI940" s="9" t="n"/>
      <c r="AJ940" s="9" t="n"/>
      <c r="AK940" s="9" t="n"/>
      <c r="AL940" s="9" t="n"/>
      <c r="AM940" s="10" t="n"/>
    </row>
    <row r="941" ht="12.75" customHeight="1" s="562">
      <c r="E941" s="55" t="n"/>
      <c r="N941" s="10" t="n"/>
      <c r="O941" s="6" t="n"/>
      <c r="T941" s="6" t="n"/>
      <c r="Z941" s="6" t="n"/>
      <c r="AB941" s="9" t="n"/>
      <c r="AC941" s="9" t="n"/>
      <c r="AD941" s="9" t="n"/>
      <c r="AE941" s="9" t="n"/>
      <c r="AF941" s="9" t="n"/>
      <c r="AG941" s="9" t="n"/>
      <c r="AH941" s="9" t="n"/>
      <c r="AI941" s="9" t="n"/>
      <c r="AJ941" s="9" t="n"/>
      <c r="AK941" s="9" t="n"/>
      <c r="AL941" s="9" t="n"/>
      <c r="AM941" s="10" t="n"/>
    </row>
    <row r="942" ht="12.75" customHeight="1" s="562">
      <c r="E942" s="55" t="n"/>
      <c r="N942" s="10" t="n"/>
      <c r="O942" s="6" t="n"/>
      <c r="T942" s="6" t="n"/>
      <c r="Z942" s="6" t="n"/>
      <c r="AB942" s="9" t="n"/>
      <c r="AC942" s="9" t="n"/>
      <c r="AD942" s="9" t="n"/>
      <c r="AE942" s="9" t="n"/>
      <c r="AF942" s="9" t="n"/>
      <c r="AG942" s="9" t="n"/>
      <c r="AH942" s="9" t="n"/>
      <c r="AI942" s="9" t="n"/>
      <c r="AJ942" s="9" t="n"/>
      <c r="AK942" s="9" t="n"/>
      <c r="AL942" s="9" t="n"/>
      <c r="AM942" s="10" t="n"/>
    </row>
    <row r="943" ht="12.75" customHeight="1" s="562">
      <c r="E943" s="55" t="n"/>
      <c r="N943" s="10" t="n"/>
      <c r="O943" s="6" t="n"/>
      <c r="T943" s="6" t="n"/>
      <c r="Z943" s="6" t="n"/>
      <c r="AB943" s="9" t="n"/>
      <c r="AC943" s="9" t="n"/>
      <c r="AD943" s="9" t="n"/>
      <c r="AE943" s="9" t="n"/>
      <c r="AF943" s="9" t="n"/>
      <c r="AG943" s="9" t="n"/>
      <c r="AH943" s="9" t="n"/>
      <c r="AI943" s="9" t="n"/>
      <c r="AJ943" s="9" t="n"/>
      <c r="AK943" s="9" t="n"/>
      <c r="AL943" s="9" t="n"/>
      <c r="AM943" s="10" t="n"/>
    </row>
    <row r="944" ht="12.75" customHeight="1" s="562">
      <c r="E944" s="55" t="n"/>
      <c r="N944" s="10" t="n"/>
      <c r="O944" s="6" t="n"/>
      <c r="T944" s="6" t="n"/>
      <c r="Z944" s="6" t="n"/>
      <c r="AB944" s="9" t="n"/>
      <c r="AC944" s="9" t="n"/>
      <c r="AD944" s="9" t="n"/>
      <c r="AE944" s="9" t="n"/>
      <c r="AF944" s="9" t="n"/>
      <c r="AG944" s="9" t="n"/>
      <c r="AH944" s="9" t="n"/>
      <c r="AI944" s="9" t="n"/>
      <c r="AJ944" s="9" t="n"/>
      <c r="AK944" s="9" t="n"/>
      <c r="AL944" s="9" t="n"/>
      <c r="AM944" s="10" t="n"/>
    </row>
    <row r="945" ht="12.75" customHeight="1" s="562">
      <c r="E945" s="55" t="n"/>
      <c r="N945" s="10" t="n"/>
      <c r="O945" s="6" t="n"/>
      <c r="T945" s="6" t="n"/>
      <c r="Z945" s="6" t="n"/>
      <c r="AB945" s="9" t="n"/>
      <c r="AC945" s="9" t="n"/>
      <c r="AD945" s="9" t="n"/>
      <c r="AE945" s="9" t="n"/>
      <c r="AF945" s="9" t="n"/>
      <c r="AG945" s="9" t="n"/>
      <c r="AH945" s="9" t="n"/>
      <c r="AI945" s="9" t="n"/>
      <c r="AJ945" s="9" t="n"/>
      <c r="AK945" s="9" t="n"/>
      <c r="AL945" s="9" t="n"/>
      <c r="AM945" s="10" t="n"/>
    </row>
    <row r="946" ht="12.75" customHeight="1" s="562">
      <c r="E946" s="55" t="n"/>
      <c r="N946" s="10" t="n"/>
      <c r="O946" s="6" t="n"/>
      <c r="T946" s="6" t="n"/>
      <c r="Z946" s="6" t="n"/>
      <c r="AB946" s="9" t="n"/>
      <c r="AC946" s="9" t="n"/>
      <c r="AD946" s="9" t="n"/>
      <c r="AE946" s="9" t="n"/>
      <c r="AF946" s="9" t="n"/>
      <c r="AG946" s="9" t="n"/>
      <c r="AH946" s="9" t="n"/>
      <c r="AI946" s="9" t="n"/>
      <c r="AJ946" s="9" t="n"/>
      <c r="AK946" s="9" t="n"/>
      <c r="AL946" s="9" t="n"/>
      <c r="AM946" s="10" t="n"/>
    </row>
    <row r="947" ht="12.75" customHeight="1" s="562">
      <c r="E947" s="55" t="n"/>
      <c r="N947" s="10" t="n"/>
      <c r="O947" s="6" t="n"/>
      <c r="T947" s="6" t="n"/>
      <c r="Z947" s="6" t="n"/>
      <c r="AB947" s="9" t="n"/>
      <c r="AC947" s="9" t="n"/>
      <c r="AD947" s="9" t="n"/>
      <c r="AE947" s="9" t="n"/>
      <c r="AF947" s="9" t="n"/>
      <c r="AG947" s="9" t="n"/>
      <c r="AH947" s="9" t="n"/>
      <c r="AI947" s="9" t="n"/>
      <c r="AJ947" s="9" t="n"/>
      <c r="AK947" s="9" t="n"/>
      <c r="AL947" s="9" t="n"/>
      <c r="AM947" s="10" t="n"/>
    </row>
    <row r="948" ht="12.75" customHeight="1" s="562">
      <c r="E948" s="55" t="n"/>
      <c r="N948" s="10" t="n"/>
      <c r="O948" s="6" t="n"/>
      <c r="T948" s="6" t="n"/>
      <c r="Z948" s="6" t="n"/>
      <c r="AB948" s="9" t="n"/>
      <c r="AC948" s="9" t="n"/>
      <c r="AD948" s="9" t="n"/>
      <c r="AE948" s="9" t="n"/>
      <c r="AF948" s="9" t="n"/>
      <c r="AG948" s="9" t="n"/>
      <c r="AH948" s="9" t="n"/>
      <c r="AI948" s="9" t="n"/>
      <c r="AJ948" s="9" t="n"/>
      <c r="AK948" s="9" t="n"/>
      <c r="AL948" s="9" t="n"/>
      <c r="AM948" s="10" t="n"/>
    </row>
    <row r="949" ht="12.75" customHeight="1" s="562">
      <c r="E949" s="55" t="n"/>
      <c r="N949" s="10" t="n"/>
      <c r="O949" s="6" t="n"/>
      <c r="T949" s="6" t="n"/>
      <c r="Z949" s="6" t="n"/>
      <c r="AB949" s="9" t="n"/>
      <c r="AC949" s="9" t="n"/>
      <c r="AD949" s="9" t="n"/>
      <c r="AE949" s="9" t="n"/>
      <c r="AF949" s="9" t="n"/>
      <c r="AG949" s="9" t="n"/>
      <c r="AH949" s="9" t="n"/>
      <c r="AI949" s="9" t="n"/>
      <c r="AJ949" s="9" t="n"/>
      <c r="AK949" s="9" t="n"/>
      <c r="AL949" s="9" t="n"/>
      <c r="AM949" s="10" t="n"/>
    </row>
    <row r="950" ht="12.75" customHeight="1" s="562">
      <c r="E950" s="55" t="n"/>
      <c r="N950" s="10" t="n"/>
      <c r="O950" s="6" t="n"/>
      <c r="T950" s="6" t="n"/>
      <c r="Z950" s="6" t="n"/>
      <c r="AB950" s="9" t="n"/>
      <c r="AC950" s="9" t="n"/>
      <c r="AD950" s="9" t="n"/>
      <c r="AE950" s="9" t="n"/>
      <c r="AF950" s="9" t="n"/>
      <c r="AG950" s="9" t="n"/>
      <c r="AH950" s="9" t="n"/>
      <c r="AI950" s="9" t="n"/>
      <c r="AJ950" s="9" t="n"/>
      <c r="AK950" s="9" t="n"/>
      <c r="AL950" s="9" t="n"/>
      <c r="AM950" s="10" t="n"/>
    </row>
    <row r="951" ht="12.75" customHeight="1" s="562">
      <c r="E951" s="55" t="n"/>
      <c r="N951" s="10" t="n"/>
      <c r="O951" s="6" t="n"/>
      <c r="T951" s="6" t="n"/>
      <c r="Z951" s="6" t="n"/>
      <c r="AB951" s="9" t="n"/>
      <c r="AC951" s="9" t="n"/>
      <c r="AD951" s="9" t="n"/>
      <c r="AE951" s="9" t="n"/>
      <c r="AF951" s="9" t="n"/>
      <c r="AG951" s="9" t="n"/>
      <c r="AH951" s="9" t="n"/>
      <c r="AI951" s="9" t="n"/>
      <c r="AJ951" s="9" t="n"/>
      <c r="AK951" s="9" t="n"/>
      <c r="AL951" s="9" t="n"/>
      <c r="AM951" s="10" t="n"/>
    </row>
    <row r="952" ht="12.75" customHeight="1" s="562">
      <c r="E952" s="55" t="n"/>
      <c r="N952" s="10" t="n"/>
      <c r="O952" s="6" t="n"/>
      <c r="T952" s="6" t="n"/>
      <c r="Z952" s="6" t="n"/>
      <c r="AB952" s="9" t="n"/>
      <c r="AC952" s="9" t="n"/>
      <c r="AD952" s="9" t="n"/>
      <c r="AE952" s="9" t="n"/>
      <c r="AF952" s="9" t="n"/>
      <c r="AG952" s="9" t="n"/>
      <c r="AH952" s="9" t="n"/>
      <c r="AI952" s="9" t="n"/>
      <c r="AJ952" s="9" t="n"/>
      <c r="AK952" s="9" t="n"/>
      <c r="AL952" s="9" t="n"/>
      <c r="AM952" s="10" t="n"/>
    </row>
    <row r="953" ht="12.75" customHeight="1" s="562">
      <c r="E953" s="55" t="n"/>
      <c r="N953" s="10" t="n"/>
      <c r="O953" s="6" t="n"/>
      <c r="T953" s="6" t="n"/>
      <c r="Z953" s="6" t="n"/>
      <c r="AB953" s="9" t="n"/>
      <c r="AC953" s="9" t="n"/>
      <c r="AD953" s="9" t="n"/>
      <c r="AE953" s="9" t="n"/>
      <c r="AF953" s="9" t="n"/>
      <c r="AG953" s="9" t="n"/>
      <c r="AH953" s="9" t="n"/>
      <c r="AI953" s="9" t="n"/>
      <c r="AJ953" s="9" t="n"/>
      <c r="AK953" s="9" t="n"/>
      <c r="AL953" s="9" t="n"/>
      <c r="AM953" s="10" t="n"/>
    </row>
    <row r="954" ht="12.75" customHeight="1" s="562">
      <c r="E954" s="55" t="n"/>
      <c r="N954" s="10" t="n"/>
      <c r="O954" s="6" t="n"/>
      <c r="T954" s="6" t="n"/>
      <c r="Z954" s="6" t="n"/>
      <c r="AB954" s="9" t="n"/>
      <c r="AC954" s="9" t="n"/>
      <c r="AD954" s="9" t="n"/>
      <c r="AE954" s="9" t="n"/>
      <c r="AF954" s="9" t="n"/>
      <c r="AG954" s="9" t="n"/>
      <c r="AH954" s="9" t="n"/>
      <c r="AI954" s="9" t="n"/>
      <c r="AJ954" s="9" t="n"/>
      <c r="AK954" s="9" t="n"/>
      <c r="AL954" s="9" t="n"/>
      <c r="AM954" s="10" t="n"/>
    </row>
    <row r="955" ht="12.75" customHeight="1" s="562">
      <c r="E955" s="55" t="n"/>
      <c r="N955" s="10" t="n"/>
      <c r="O955" s="6" t="n"/>
      <c r="T955" s="6" t="n"/>
      <c r="Z955" s="6" t="n"/>
      <c r="AB955" s="9" t="n"/>
      <c r="AC955" s="9" t="n"/>
      <c r="AD955" s="9" t="n"/>
      <c r="AE955" s="9" t="n"/>
      <c r="AF955" s="9" t="n"/>
      <c r="AG955" s="9" t="n"/>
      <c r="AH955" s="9" t="n"/>
      <c r="AI955" s="9" t="n"/>
      <c r="AJ955" s="9" t="n"/>
      <c r="AK955" s="9" t="n"/>
      <c r="AL955" s="9" t="n"/>
      <c r="AM955" s="10" t="n"/>
    </row>
    <row r="956" ht="12.75" customHeight="1" s="562">
      <c r="E956" s="55" t="n"/>
      <c r="N956" s="10" t="n"/>
      <c r="O956" s="6" t="n"/>
      <c r="T956" s="6" t="n"/>
      <c r="Z956" s="6" t="n"/>
      <c r="AB956" s="9" t="n"/>
      <c r="AC956" s="9" t="n"/>
      <c r="AD956" s="9" t="n"/>
      <c r="AE956" s="9" t="n"/>
      <c r="AF956" s="9" t="n"/>
      <c r="AG956" s="9" t="n"/>
      <c r="AH956" s="9" t="n"/>
      <c r="AI956" s="9" t="n"/>
      <c r="AJ956" s="9" t="n"/>
      <c r="AK956" s="9" t="n"/>
      <c r="AL956" s="9" t="n"/>
      <c r="AM956" s="10" t="n"/>
    </row>
    <row r="957" ht="12.75" customHeight="1" s="562">
      <c r="E957" s="55" t="n"/>
      <c r="N957" s="10" t="n"/>
      <c r="O957" s="6" t="n"/>
      <c r="T957" s="6" t="n"/>
      <c r="Z957" s="6" t="n"/>
      <c r="AB957" s="9" t="n"/>
      <c r="AC957" s="9" t="n"/>
      <c r="AD957" s="9" t="n"/>
      <c r="AE957" s="9" t="n"/>
      <c r="AF957" s="9" t="n"/>
      <c r="AG957" s="9" t="n"/>
      <c r="AH957" s="9" t="n"/>
      <c r="AI957" s="9" t="n"/>
      <c r="AJ957" s="9" t="n"/>
      <c r="AK957" s="9" t="n"/>
      <c r="AL957" s="9" t="n"/>
      <c r="AM957" s="10" t="n"/>
    </row>
    <row r="958" ht="12.75" customHeight="1" s="562">
      <c r="E958" s="55" t="n"/>
      <c r="N958" s="10" t="n"/>
      <c r="O958" s="6" t="n"/>
      <c r="T958" s="6" t="n"/>
      <c r="Z958" s="6" t="n"/>
      <c r="AB958" s="9" t="n"/>
      <c r="AC958" s="9" t="n"/>
      <c r="AD958" s="9" t="n"/>
      <c r="AE958" s="9" t="n"/>
      <c r="AF958" s="9" t="n"/>
      <c r="AG958" s="9" t="n"/>
      <c r="AH958" s="9" t="n"/>
      <c r="AI958" s="9" t="n"/>
      <c r="AJ958" s="9" t="n"/>
      <c r="AK958" s="9" t="n"/>
      <c r="AL958" s="9" t="n"/>
      <c r="AM958" s="10" t="n"/>
    </row>
    <row r="959" ht="12.75" customHeight="1" s="562">
      <c r="E959" s="55" t="n"/>
      <c r="N959" s="10" t="n"/>
      <c r="O959" s="6" t="n"/>
      <c r="T959" s="6" t="n"/>
      <c r="Z959" s="6" t="n"/>
      <c r="AB959" s="9" t="n"/>
      <c r="AC959" s="9" t="n"/>
      <c r="AD959" s="9" t="n"/>
      <c r="AE959" s="9" t="n"/>
      <c r="AF959" s="9" t="n"/>
      <c r="AG959" s="9" t="n"/>
      <c r="AH959" s="9" t="n"/>
      <c r="AI959" s="9" t="n"/>
      <c r="AJ959" s="9" t="n"/>
      <c r="AK959" s="9" t="n"/>
      <c r="AL959" s="9" t="n"/>
      <c r="AM959" s="10" t="n"/>
    </row>
    <row r="960" ht="12.75" customHeight="1" s="562">
      <c r="E960" s="55" t="n"/>
      <c r="N960" s="10" t="n"/>
      <c r="O960" s="6" t="n"/>
      <c r="T960" s="6" t="n"/>
      <c r="Z960" s="6" t="n"/>
      <c r="AB960" s="9" t="n"/>
      <c r="AC960" s="9" t="n"/>
      <c r="AD960" s="9" t="n"/>
      <c r="AE960" s="9" t="n"/>
      <c r="AF960" s="9" t="n"/>
      <c r="AG960" s="9" t="n"/>
      <c r="AH960" s="9" t="n"/>
      <c r="AI960" s="9" t="n"/>
      <c r="AJ960" s="9" t="n"/>
      <c r="AK960" s="9" t="n"/>
      <c r="AL960" s="9" t="n"/>
      <c r="AM960" s="10" t="n"/>
    </row>
    <row r="961" ht="12.75" customHeight="1" s="562">
      <c r="E961" s="55" t="n"/>
      <c r="N961" s="10" t="n"/>
      <c r="O961" s="6" t="n"/>
      <c r="T961" s="6" t="n"/>
      <c r="Z961" s="6" t="n"/>
      <c r="AB961" s="9" t="n"/>
      <c r="AC961" s="9" t="n"/>
      <c r="AD961" s="9" t="n"/>
      <c r="AE961" s="9" t="n"/>
      <c r="AF961" s="9" t="n"/>
      <c r="AG961" s="9" t="n"/>
      <c r="AH961" s="9" t="n"/>
      <c r="AI961" s="9" t="n"/>
      <c r="AJ961" s="9" t="n"/>
      <c r="AK961" s="9" t="n"/>
      <c r="AL961" s="9" t="n"/>
      <c r="AM961" s="10" t="n"/>
    </row>
    <row r="962" ht="12.75" customHeight="1" s="562">
      <c r="E962" s="55" t="n"/>
      <c r="N962" s="10" t="n"/>
      <c r="O962" s="6" t="n"/>
      <c r="T962" s="6" t="n"/>
      <c r="Z962" s="6" t="n"/>
      <c r="AB962" s="9" t="n"/>
      <c r="AC962" s="9" t="n"/>
      <c r="AD962" s="9" t="n"/>
      <c r="AE962" s="9" t="n"/>
      <c r="AF962" s="9" t="n"/>
      <c r="AG962" s="9" t="n"/>
      <c r="AH962" s="9" t="n"/>
      <c r="AI962" s="9" t="n"/>
      <c r="AJ962" s="9" t="n"/>
      <c r="AK962" s="9" t="n"/>
      <c r="AL962" s="9" t="n"/>
      <c r="AM962" s="10" t="n"/>
    </row>
    <row r="963" ht="12.75" customHeight="1" s="562">
      <c r="E963" s="55" t="n"/>
      <c r="N963" s="10" t="n"/>
      <c r="O963" s="6" t="n"/>
      <c r="T963" s="6" t="n"/>
      <c r="Z963" s="6" t="n"/>
      <c r="AB963" s="9" t="n"/>
      <c r="AC963" s="9" t="n"/>
      <c r="AD963" s="9" t="n"/>
      <c r="AE963" s="9" t="n"/>
      <c r="AF963" s="9" t="n"/>
      <c r="AG963" s="9" t="n"/>
      <c r="AH963" s="9" t="n"/>
      <c r="AI963" s="9" t="n"/>
      <c r="AJ963" s="9" t="n"/>
      <c r="AK963" s="9" t="n"/>
      <c r="AL963" s="9" t="n"/>
      <c r="AM963" s="10" t="n"/>
    </row>
    <row r="964" ht="12.75" customHeight="1" s="562">
      <c r="E964" s="55" t="n"/>
      <c r="N964" s="10" t="n"/>
      <c r="O964" s="6" t="n"/>
      <c r="T964" s="6" t="n"/>
      <c r="Z964" s="6" t="n"/>
      <c r="AB964" s="9" t="n"/>
      <c r="AC964" s="9" t="n"/>
      <c r="AD964" s="9" t="n"/>
      <c r="AE964" s="9" t="n"/>
      <c r="AF964" s="9" t="n"/>
      <c r="AG964" s="9" t="n"/>
      <c r="AH964" s="9" t="n"/>
      <c r="AI964" s="9" t="n"/>
      <c r="AJ964" s="9" t="n"/>
      <c r="AK964" s="9" t="n"/>
      <c r="AL964" s="9" t="n"/>
      <c r="AM964" s="10" t="n"/>
    </row>
    <row r="965" ht="12.75" customHeight="1" s="562">
      <c r="E965" s="55" t="n"/>
      <c r="N965" s="10" t="n"/>
      <c r="O965" s="6" t="n"/>
      <c r="T965" s="6" t="n"/>
      <c r="Z965" s="6" t="n"/>
      <c r="AB965" s="9" t="n"/>
      <c r="AC965" s="9" t="n"/>
      <c r="AD965" s="9" t="n"/>
      <c r="AE965" s="9" t="n"/>
      <c r="AF965" s="9" t="n"/>
      <c r="AG965" s="9" t="n"/>
      <c r="AH965" s="9" t="n"/>
      <c r="AI965" s="9" t="n"/>
      <c r="AJ965" s="9" t="n"/>
      <c r="AK965" s="9" t="n"/>
      <c r="AL965" s="9" t="n"/>
      <c r="AM965" s="10" t="n"/>
    </row>
    <row r="966" ht="12.75" customHeight="1" s="562">
      <c r="E966" s="55" t="n"/>
      <c r="N966" s="10" t="n"/>
      <c r="O966" s="6" t="n"/>
      <c r="T966" s="6" t="n"/>
      <c r="Z966" s="6" t="n"/>
      <c r="AB966" s="9" t="n"/>
      <c r="AC966" s="9" t="n"/>
      <c r="AD966" s="9" t="n"/>
      <c r="AE966" s="9" t="n"/>
      <c r="AF966" s="9" t="n"/>
      <c r="AG966" s="9" t="n"/>
      <c r="AH966" s="9" t="n"/>
      <c r="AI966" s="9" t="n"/>
      <c r="AJ966" s="9" t="n"/>
      <c r="AK966" s="9" t="n"/>
      <c r="AL966" s="9" t="n"/>
      <c r="AM966" s="10" t="n"/>
    </row>
    <row r="967" ht="12.75" customHeight="1" s="562">
      <c r="E967" s="55" t="n"/>
      <c r="N967" s="10" t="n"/>
      <c r="O967" s="6" t="n"/>
      <c r="T967" s="6" t="n"/>
      <c r="Z967" s="6" t="n"/>
      <c r="AB967" s="9" t="n"/>
      <c r="AC967" s="9" t="n"/>
      <c r="AD967" s="9" t="n"/>
      <c r="AE967" s="9" t="n"/>
      <c r="AF967" s="9" t="n"/>
      <c r="AG967" s="9" t="n"/>
      <c r="AH967" s="9" t="n"/>
      <c r="AI967" s="9" t="n"/>
      <c r="AJ967" s="9" t="n"/>
      <c r="AK967" s="9" t="n"/>
      <c r="AL967" s="9" t="n"/>
      <c r="AM967" s="10" t="n"/>
    </row>
    <row r="968" ht="12.75" customHeight="1" s="562">
      <c r="E968" s="55" t="n"/>
      <c r="N968" s="10" t="n"/>
      <c r="O968" s="6" t="n"/>
      <c r="T968" s="6" t="n"/>
      <c r="Z968" s="6" t="n"/>
      <c r="AB968" s="9" t="n"/>
      <c r="AC968" s="9" t="n"/>
      <c r="AD968" s="9" t="n"/>
      <c r="AE968" s="9" t="n"/>
      <c r="AF968" s="9" t="n"/>
      <c r="AG968" s="9" t="n"/>
      <c r="AH968" s="9" t="n"/>
      <c r="AI968" s="9" t="n"/>
      <c r="AJ968" s="9" t="n"/>
      <c r="AK968" s="9" t="n"/>
      <c r="AL968" s="9" t="n"/>
      <c r="AM968" s="10" t="n"/>
    </row>
    <row r="969" ht="12.75" customHeight="1" s="562">
      <c r="E969" s="55" t="n"/>
      <c r="N969" s="10" t="n"/>
      <c r="O969" s="6" t="n"/>
      <c r="T969" s="6" t="n"/>
      <c r="Z969" s="6" t="n"/>
      <c r="AB969" s="9" t="n"/>
      <c r="AC969" s="9" t="n"/>
      <c r="AD969" s="9" t="n"/>
      <c r="AE969" s="9" t="n"/>
      <c r="AF969" s="9" t="n"/>
      <c r="AG969" s="9" t="n"/>
      <c r="AH969" s="9" t="n"/>
      <c r="AI969" s="9" t="n"/>
      <c r="AJ969" s="9" t="n"/>
      <c r="AK969" s="9" t="n"/>
      <c r="AL969" s="9" t="n"/>
      <c r="AM969" s="10" t="n"/>
    </row>
    <row r="970" ht="12.75" customHeight="1" s="562">
      <c r="E970" s="55" t="n"/>
      <c r="N970" s="10" t="n"/>
      <c r="O970" s="6" t="n"/>
      <c r="T970" s="6" t="n"/>
      <c r="Z970" s="6" t="n"/>
      <c r="AB970" s="9" t="n"/>
      <c r="AC970" s="9" t="n"/>
      <c r="AD970" s="9" t="n"/>
      <c r="AE970" s="9" t="n"/>
      <c r="AF970" s="9" t="n"/>
      <c r="AG970" s="9" t="n"/>
      <c r="AH970" s="9" t="n"/>
      <c r="AI970" s="9" t="n"/>
      <c r="AJ970" s="9" t="n"/>
      <c r="AK970" s="9" t="n"/>
      <c r="AL970" s="9" t="n"/>
      <c r="AM970" s="10" t="n"/>
    </row>
    <row r="971" ht="12.75" customHeight="1" s="562">
      <c r="E971" s="55" t="n"/>
      <c r="N971" s="10" t="n"/>
      <c r="O971" s="6" t="n"/>
      <c r="T971" s="6" t="n"/>
      <c r="Z971" s="6" t="n"/>
      <c r="AB971" s="9" t="n"/>
      <c r="AC971" s="9" t="n"/>
      <c r="AD971" s="9" t="n"/>
      <c r="AE971" s="9" t="n"/>
      <c r="AF971" s="9" t="n"/>
      <c r="AG971" s="9" t="n"/>
      <c r="AH971" s="9" t="n"/>
      <c r="AI971" s="9" t="n"/>
      <c r="AJ971" s="9" t="n"/>
      <c r="AK971" s="9" t="n"/>
      <c r="AL971" s="9" t="n"/>
      <c r="AM971" s="10" t="n"/>
    </row>
    <row r="972" ht="12.75" customHeight="1" s="562">
      <c r="E972" s="55" t="n"/>
      <c r="N972" s="10" t="n"/>
      <c r="O972" s="6" t="n"/>
      <c r="T972" s="6" t="n"/>
      <c r="Z972" s="6" t="n"/>
      <c r="AB972" s="9" t="n"/>
      <c r="AC972" s="9" t="n"/>
      <c r="AD972" s="9" t="n"/>
      <c r="AE972" s="9" t="n"/>
      <c r="AF972" s="9" t="n"/>
      <c r="AG972" s="9" t="n"/>
      <c r="AH972" s="9" t="n"/>
      <c r="AI972" s="9" t="n"/>
      <c r="AJ972" s="9" t="n"/>
      <c r="AK972" s="9" t="n"/>
      <c r="AL972" s="9" t="n"/>
      <c r="AM972" s="10" t="n"/>
    </row>
    <row r="973" ht="12.75" customHeight="1" s="562">
      <c r="E973" s="55" t="n"/>
      <c r="N973" s="10" t="n"/>
      <c r="O973" s="6" t="n"/>
      <c r="T973" s="6" t="n"/>
      <c r="Z973" s="6" t="n"/>
      <c r="AB973" s="9" t="n"/>
      <c r="AC973" s="9" t="n"/>
      <c r="AD973" s="9" t="n"/>
      <c r="AE973" s="9" t="n"/>
      <c r="AF973" s="9" t="n"/>
      <c r="AG973" s="9" t="n"/>
      <c r="AH973" s="9" t="n"/>
      <c r="AI973" s="9" t="n"/>
      <c r="AJ973" s="9" t="n"/>
      <c r="AK973" s="9" t="n"/>
      <c r="AL973" s="9" t="n"/>
      <c r="AM973" s="10" t="n"/>
    </row>
    <row r="974" ht="12.75" customHeight="1" s="562">
      <c r="E974" s="55" t="n"/>
      <c r="N974" s="10" t="n"/>
      <c r="O974" s="6" t="n"/>
      <c r="T974" s="6" t="n"/>
      <c r="Z974" s="6" t="n"/>
      <c r="AB974" s="9" t="n"/>
      <c r="AC974" s="9" t="n"/>
      <c r="AD974" s="9" t="n"/>
      <c r="AE974" s="9" t="n"/>
      <c r="AF974" s="9" t="n"/>
      <c r="AG974" s="9" t="n"/>
      <c r="AH974" s="9" t="n"/>
      <c r="AI974" s="9" t="n"/>
      <c r="AJ974" s="9" t="n"/>
      <c r="AK974" s="9" t="n"/>
      <c r="AL974" s="9" t="n"/>
      <c r="AM974" s="10" t="n"/>
    </row>
    <row r="975" ht="12.75" customHeight="1" s="562">
      <c r="E975" s="55" t="n"/>
      <c r="N975" s="10" t="n"/>
      <c r="O975" s="6" t="n"/>
      <c r="T975" s="6" t="n"/>
      <c r="Z975" s="6" t="n"/>
      <c r="AB975" s="9" t="n"/>
      <c r="AC975" s="9" t="n"/>
      <c r="AD975" s="9" t="n"/>
      <c r="AE975" s="9" t="n"/>
      <c r="AF975" s="9" t="n"/>
      <c r="AG975" s="9" t="n"/>
      <c r="AH975" s="9" t="n"/>
      <c r="AI975" s="9" t="n"/>
      <c r="AJ975" s="9" t="n"/>
      <c r="AK975" s="9" t="n"/>
      <c r="AL975" s="9" t="n"/>
      <c r="AM975" s="10" t="n"/>
    </row>
    <row r="976" ht="12.75" customHeight="1" s="562">
      <c r="E976" s="55" t="n"/>
      <c r="N976" s="10" t="n"/>
      <c r="O976" s="6" t="n"/>
      <c r="T976" s="6" t="n"/>
      <c r="Z976" s="6" t="n"/>
      <c r="AB976" s="9" t="n"/>
      <c r="AC976" s="9" t="n"/>
      <c r="AD976" s="9" t="n"/>
      <c r="AE976" s="9" t="n"/>
      <c r="AF976" s="9" t="n"/>
      <c r="AG976" s="9" t="n"/>
      <c r="AH976" s="9" t="n"/>
      <c r="AI976" s="9" t="n"/>
      <c r="AJ976" s="9" t="n"/>
      <c r="AK976" s="9" t="n"/>
      <c r="AL976" s="9" t="n"/>
      <c r="AM976" s="10" t="n"/>
    </row>
    <row r="977" ht="12.75" customHeight="1" s="562">
      <c r="E977" s="55" t="n"/>
      <c r="N977" s="10" t="n"/>
      <c r="O977" s="6" t="n"/>
      <c r="T977" s="6" t="n"/>
      <c r="Z977" s="6" t="n"/>
      <c r="AB977" s="9" t="n"/>
      <c r="AC977" s="9" t="n"/>
      <c r="AD977" s="9" t="n"/>
      <c r="AE977" s="9" t="n"/>
      <c r="AF977" s="9" t="n"/>
      <c r="AG977" s="9" t="n"/>
      <c r="AH977" s="9" t="n"/>
      <c r="AI977" s="9" t="n"/>
      <c r="AJ977" s="9" t="n"/>
      <c r="AK977" s="9" t="n"/>
      <c r="AL977" s="9" t="n"/>
      <c r="AM977" s="10" t="n"/>
    </row>
    <row r="978" ht="12.75" customHeight="1" s="562">
      <c r="E978" s="55" t="n"/>
      <c r="N978" s="10" t="n"/>
      <c r="O978" s="6" t="n"/>
      <c r="T978" s="6" t="n"/>
      <c r="Z978" s="6" t="n"/>
      <c r="AB978" s="9" t="n"/>
      <c r="AC978" s="9" t="n"/>
      <c r="AD978" s="9" t="n"/>
      <c r="AE978" s="9" t="n"/>
      <c r="AF978" s="9" t="n"/>
      <c r="AG978" s="9" t="n"/>
      <c r="AH978" s="9" t="n"/>
      <c r="AI978" s="9" t="n"/>
      <c r="AJ978" s="9" t="n"/>
      <c r="AK978" s="9" t="n"/>
      <c r="AL978" s="9" t="n"/>
      <c r="AM978" s="10" t="n"/>
    </row>
    <row r="979" ht="12.75" customHeight="1" s="562">
      <c r="E979" s="55" t="n"/>
      <c r="N979" s="10" t="n"/>
      <c r="O979" s="6" t="n"/>
      <c r="T979" s="6" t="n"/>
      <c r="Z979" s="6" t="n"/>
      <c r="AB979" s="9" t="n"/>
      <c r="AC979" s="9" t="n"/>
      <c r="AD979" s="9" t="n"/>
      <c r="AE979" s="9" t="n"/>
      <c r="AF979" s="9" t="n"/>
      <c r="AG979" s="9" t="n"/>
      <c r="AH979" s="9" t="n"/>
      <c r="AI979" s="9" t="n"/>
      <c r="AJ979" s="9" t="n"/>
      <c r="AK979" s="9" t="n"/>
      <c r="AL979" s="9" t="n"/>
      <c r="AM979" s="10" t="n"/>
    </row>
    <row r="980" ht="12.75" customHeight="1" s="562">
      <c r="E980" s="55" t="n"/>
      <c r="N980" s="10" t="n"/>
      <c r="O980" s="6" t="n"/>
      <c r="T980" s="6" t="n"/>
      <c r="Z980" s="6" t="n"/>
      <c r="AB980" s="9" t="n"/>
      <c r="AC980" s="9" t="n"/>
      <c r="AD980" s="9" t="n"/>
      <c r="AE980" s="9" t="n"/>
      <c r="AF980" s="9" t="n"/>
      <c r="AG980" s="9" t="n"/>
      <c r="AH980" s="9" t="n"/>
      <c r="AI980" s="9" t="n"/>
      <c r="AJ980" s="9" t="n"/>
      <c r="AK980" s="9" t="n"/>
      <c r="AL980" s="9" t="n"/>
      <c r="AM980" s="10" t="n"/>
    </row>
    <row r="981" ht="12.75" customHeight="1" s="562">
      <c r="E981" s="55" t="n"/>
      <c r="N981" s="10" t="n"/>
      <c r="O981" s="6" t="n"/>
      <c r="T981" s="6" t="n"/>
      <c r="Z981" s="6" t="n"/>
      <c r="AB981" s="9" t="n"/>
      <c r="AC981" s="9" t="n"/>
      <c r="AD981" s="9" t="n"/>
      <c r="AE981" s="9" t="n"/>
      <c r="AF981" s="9" t="n"/>
      <c r="AG981" s="9" t="n"/>
      <c r="AH981" s="9" t="n"/>
      <c r="AI981" s="9" t="n"/>
      <c r="AJ981" s="9" t="n"/>
      <c r="AK981" s="9" t="n"/>
      <c r="AL981" s="9" t="n"/>
      <c r="AM981" s="10" t="n"/>
    </row>
    <row r="982" ht="12.75" customHeight="1" s="562">
      <c r="E982" s="55" t="n"/>
      <c r="N982" s="10" t="n"/>
      <c r="O982" s="6" t="n"/>
      <c r="T982" s="6" t="n"/>
      <c r="Z982" s="6" t="n"/>
      <c r="AB982" s="9" t="n"/>
      <c r="AC982" s="9" t="n"/>
      <c r="AD982" s="9" t="n"/>
      <c r="AE982" s="9" t="n"/>
      <c r="AF982" s="9" t="n"/>
      <c r="AG982" s="9" t="n"/>
      <c r="AH982" s="9" t="n"/>
      <c r="AI982" s="9" t="n"/>
      <c r="AJ982" s="9" t="n"/>
      <c r="AK982" s="9" t="n"/>
      <c r="AL982" s="9" t="n"/>
      <c r="AM982" s="10" t="n"/>
    </row>
    <row r="983" ht="12.75" customHeight="1" s="562">
      <c r="E983" s="55" t="n"/>
      <c r="N983" s="10" t="n"/>
      <c r="O983" s="6" t="n"/>
      <c r="T983" s="6" t="n"/>
      <c r="Z983" s="6" t="n"/>
      <c r="AB983" s="9" t="n"/>
      <c r="AC983" s="9" t="n"/>
      <c r="AD983" s="9" t="n"/>
      <c r="AE983" s="9" t="n"/>
      <c r="AF983" s="9" t="n"/>
      <c r="AG983" s="9" t="n"/>
      <c r="AH983" s="9" t="n"/>
      <c r="AI983" s="9" t="n"/>
      <c r="AJ983" s="9" t="n"/>
      <c r="AK983" s="9" t="n"/>
      <c r="AL983" s="9" t="n"/>
      <c r="AM983" s="10" t="n"/>
    </row>
    <row r="984" ht="12.75" customHeight="1" s="562">
      <c r="E984" s="55" t="n"/>
      <c r="N984" s="10" t="n"/>
      <c r="O984" s="6" t="n"/>
      <c r="T984" s="6" t="n"/>
      <c r="Z984" s="6" t="n"/>
      <c r="AB984" s="9" t="n"/>
      <c r="AC984" s="9" t="n"/>
      <c r="AD984" s="9" t="n"/>
      <c r="AE984" s="9" t="n"/>
      <c r="AF984" s="9" t="n"/>
      <c r="AG984" s="9" t="n"/>
      <c r="AH984" s="9" t="n"/>
      <c r="AI984" s="9" t="n"/>
      <c r="AJ984" s="9" t="n"/>
      <c r="AK984" s="9" t="n"/>
      <c r="AL984" s="9" t="n"/>
      <c r="AM984" s="10" t="n"/>
    </row>
    <row r="985" ht="12.75" customHeight="1" s="562">
      <c r="E985" s="55" t="n"/>
      <c r="N985" s="10" t="n"/>
      <c r="O985" s="6" t="n"/>
      <c r="T985" s="6" t="n"/>
      <c r="Z985" s="6" t="n"/>
      <c r="AB985" s="9" t="n"/>
      <c r="AC985" s="9" t="n"/>
      <c r="AD985" s="9" t="n"/>
      <c r="AE985" s="9" t="n"/>
      <c r="AF985" s="9" t="n"/>
      <c r="AG985" s="9" t="n"/>
      <c r="AH985" s="9" t="n"/>
      <c r="AI985" s="9" t="n"/>
      <c r="AJ985" s="9" t="n"/>
      <c r="AK985" s="9" t="n"/>
      <c r="AL985" s="9" t="n"/>
      <c r="AM985" s="10" t="n"/>
    </row>
    <row r="986" ht="12.75" customHeight="1" s="562">
      <c r="E986" s="55" t="n"/>
      <c r="N986" s="10" t="n"/>
      <c r="O986" s="6" t="n"/>
      <c r="T986" s="6" t="n"/>
      <c r="Z986" s="6" t="n"/>
      <c r="AB986" s="9" t="n"/>
      <c r="AC986" s="9" t="n"/>
      <c r="AD986" s="9" t="n"/>
      <c r="AE986" s="9" t="n"/>
      <c r="AF986" s="9" t="n"/>
      <c r="AG986" s="9" t="n"/>
      <c r="AH986" s="9" t="n"/>
      <c r="AI986" s="9" t="n"/>
      <c r="AJ986" s="9" t="n"/>
      <c r="AK986" s="9" t="n"/>
      <c r="AL986" s="9" t="n"/>
      <c r="AM986" s="10" t="n"/>
    </row>
    <row r="987" ht="12.75" customHeight="1" s="562">
      <c r="E987" s="55" t="n"/>
      <c r="N987" s="10" t="n"/>
      <c r="O987" s="6" t="n"/>
      <c r="T987" s="6" t="n"/>
      <c r="Z987" s="6" t="n"/>
      <c r="AB987" s="9" t="n"/>
      <c r="AC987" s="9" t="n"/>
      <c r="AD987" s="9" t="n"/>
      <c r="AE987" s="9" t="n"/>
      <c r="AF987" s="9" t="n"/>
      <c r="AG987" s="9" t="n"/>
      <c r="AH987" s="9" t="n"/>
      <c r="AI987" s="9" t="n"/>
      <c r="AJ987" s="9" t="n"/>
      <c r="AK987" s="9" t="n"/>
      <c r="AL987" s="9" t="n"/>
      <c r="AM987" s="10" t="n"/>
    </row>
    <row r="988" ht="12.75" customHeight="1" s="562">
      <c r="E988" s="55" t="n"/>
      <c r="N988" s="10" t="n"/>
      <c r="O988" s="6" t="n"/>
      <c r="T988" s="6" t="n"/>
      <c r="Z988" s="6" t="n"/>
      <c r="AB988" s="9" t="n"/>
      <c r="AC988" s="9" t="n"/>
      <c r="AD988" s="9" t="n"/>
      <c r="AE988" s="9" t="n"/>
      <c r="AF988" s="9" t="n"/>
      <c r="AG988" s="9" t="n"/>
      <c r="AH988" s="9" t="n"/>
      <c r="AI988" s="9" t="n"/>
      <c r="AJ988" s="9" t="n"/>
      <c r="AK988" s="9" t="n"/>
      <c r="AL988" s="9" t="n"/>
      <c r="AM988" s="10" t="n"/>
    </row>
    <row r="989" ht="12.75" customHeight="1" s="562">
      <c r="E989" s="55" t="n"/>
      <c r="N989" s="10" t="n"/>
      <c r="O989" s="6" t="n"/>
      <c r="T989" s="6" t="n"/>
      <c r="Z989" s="6" t="n"/>
      <c r="AB989" s="9" t="n"/>
      <c r="AC989" s="9" t="n"/>
      <c r="AD989" s="9" t="n"/>
      <c r="AE989" s="9" t="n"/>
      <c r="AF989" s="9" t="n"/>
      <c r="AG989" s="9" t="n"/>
      <c r="AH989" s="9" t="n"/>
      <c r="AI989" s="9" t="n"/>
      <c r="AJ989" s="9" t="n"/>
      <c r="AK989" s="9" t="n"/>
      <c r="AL989" s="9" t="n"/>
      <c r="AM989" s="10" t="n"/>
    </row>
    <row r="990" ht="12.75" customHeight="1" s="562">
      <c r="E990" s="55" t="n"/>
      <c r="N990" s="10" t="n"/>
      <c r="O990" s="6" t="n"/>
      <c r="T990" s="6" t="n"/>
      <c r="Z990" s="6" t="n"/>
      <c r="AB990" s="9" t="n"/>
      <c r="AC990" s="9" t="n"/>
      <c r="AD990" s="9" t="n"/>
      <c r="AE990" s="9" t="n"/>
      <c r="AF990" s="9" t="n"/>
      <c r="AG990" s="9" t="n"/>
      <c r="AH990" s="9" t="n"/>
      <c r="AI990" s="9" t="n"/>
      <c r="AJ990" s="9" t="n"/>
      <c r="AK990" s="9" t="n"/>
      <c r="AL990" s="9" t="n"/>
      <c r="AM990" s="10" t="n"/>
    </row>
    <row r="991" ht="12.75" customHeight="1" s="562">
      <c r="E991" s="55" t="n"/>
      <c r="N991" s="10" t="n"/>
      <c r="O991" s="6" t="n"/>
      <c r="T991" s="6" t="n"/>
      <c r="Z991" s="6" t="n"/>
      <c r="AB991" s="9" t="n"/>
      <c r="AC991" s="9" t="n"/>
      <c r="AD991" s="9" t="n"/>
      <c r="AE991" s="9" t="n"/>
      <c r="AF991" s="9" t="n"/>
      <c r="AG991" s="9" t="n"/>
      <c r="AH991" s="9" t="n"/>
      <c r="AI991" s="9" t="n"/>
      <c r="AJ991" s="9" t="n"/>
      <c r="AK991" s="9" t="n"/>
      <c r="AL991" s="9" t="n"/>
      <c r="AM991" s="10" t="n"/>
    </row>
    <row r="992" ht="12.75" customHeight="1" s="562">
      <c r="E992" s="55" t="n"/>
      <c r="N992" s="10" t="n"/>
      <c r="O992" s="6" t="n"/>
      <c r="T992" s="6" t="n"/>
      <c r="Z992" s="6" t="n"/>
      <c r="AB992" s="9" t="n"/>
      <c r="AC992" s="9" t="n"/>
      <c r="AD992" s="9" t="n"/>
      <c r="AE992" s="9" t="n"/>
      <c r="AF992" s="9" t="n"/>
      <c r="AG992" s="9" t="n"/>
      <c r="AH992" s="9" t="n"/>
      <c r="AI992" s="9" t="n"/>
      <c r="AJ992" s="9" t="n"/>
      <c r="AK992" s="9" t="n"/>
      <c r="AL992" s="9" t="n"/>
      <c r="AM992" s="10" t="n"/>
    </row>
    <row r="993" ht="12.75" customHeight="1" s="562">
      <c r="E993" s="55" t="n"/>
      <c r="N993" s="10" t="n"/>
      <c r="O993" s="6" t="n"/>
      <c r="T993" s="6" t="n"/>
      <c r="Z993" s="6" t="n"/>
      <c r="AB993" s="9" t="n"/>
      <c r="AC993" s="9" t="n"/>
      <c r="AD993" s="9" t="n"/>
      <c r="AE993" s="9" t="n"/>
      <c r="AF993" s="9" t="n"/>
      <c r="AG993" s="9" t="n"/>
      <c r="AH993" s="9" t="n"/>
      <c r="AI993" s="9" t="n"/>
      <c r="AJ993" s="9" t="n"/>
      <c r="AK993" s="9" t="n"/>
      <c r="AL993" s="9" t="n"/>
      <c r="AM993" s="10" t="n"/>
    </row>
    <row r="994" ht="12.75" customHeight="1" s="562">
      <c r="E994" s="55" t="n"/>
      <c r="N994" s="10" t="n"/>
      <c r="O994" s="6" t="n"/>
      <c r="T994" s="6" t="n"/>
      <c r="Z994" s="6" t="n"/>
      <c r="AB994" s="9" t="n"/>
      <c r="AC994" s="9" t="n"/>
      <c r="AD994" s="9" t="n"/>
      <c r="AE994" s="9" t="n"/>
      <c r="AF994" s="9" t="n"/>
      <c r="AG994" s="9" t="n"/>
      <c r="AH994" s="9" t="n"/>
      <c r="AI994" s="9" t="n"/>
      <c r="AJ994" s="9" t="n"/>
      <c r="AK994" s="9" t="n"/>
      <c r="AL994" s="9" t="n"/>
      <c r="AM994" s="10" t="n"/>
    </row>
    <row r="995" ht="12.75" customHeight="1" s="562">
      <c r="E995" s="55" t="n"/>
      <c r="N995" s="10" t="n"/>
      <c r="O995" s="6" t="n"/>
      <c r="T995" s="6" t="n"/>
      <c r="Z995" s="6" t="n"/>
      <c r="AB995" s="9" t="n"/>
      <c r="AC995" s="9" t="n"/>
      <c r="AD995" s="9" t="n"/>
      <c r="AE995" s="9" t="n"/>
      <c r="AF995" s="9" t="n"/>
      <c r="AG995" s="9" t="n"/>
      <c r="AH995" s="9" t="n"/>
      <c r="AI995" s="9" t="n"/>
      <c r="AJ995" s="9" t="n"/>
      <c r="AK995" s="9" t="n"/>
      <c r="AL995" s="9" t="n"/>
      <c r="AM995" s="10" t="n"/>
    </row>
    <row r="996" ht="12.75" customHeight="1" s="562">
      <c r="E996" s="55" t="n"/>
      <c r="N996" s="10" t="n"/>
      <c r="O996" s="6" t="n"/>
      <c r="T996" s="6" t="n"/>
      <c r="Z996" s="6" t="n"/>
      <c r="AB996" s="9" t="n"/>
      <c r="AC996" s="9" t="n"/>
      <c r="AD996" s="9" t="n"/>
      <c r="AE996" s="9" t="n"/>
      <c r="AF996" s="9" t="n"/>
      <c r="AG996" s="9" t="n"/>
      <c r="AH996" s="9" t="n"/>
      <c r="AI996" s="9" t="n"/>
      <c r="AJ996" s="9" t="n"/>
      <c r="AK996" s="9" t="n"/>
      <c r="AL996" s="9" t="n"/>
      <c r="AM996" s="10" t="n"/>
    </row>
    <row r="997" ht="12.75" customHeight="1" s="562">
      <c r="E997" s="55" t="n"/>
      <c r="N997" s="10" t="n"/>
      <c r="O997" s="6" t="n"/>
      <c r="T997" s="6" t="n"/>
      <c r="Z997" s="6" t="n"/>
      <c r="AB997" s="9" t="n"/>
      <c r="AC997" s="9" t="n"/>
      <c r="AD997" s="9" t="n"/>
      <c r="AE997" s="9" t="n"/>
      <c r="AF997" s="9" t="n"/>
      <c r="AG997" s="9" t="n"/>
      <c r="AH997" s="9" t="n"/>
      <c r="AI997" s="9" t="n"/>
      <c r="AJ997" s="9" t="n"/>
      <c r="AK997" s="9" t="n"/>
      <c r="AL997" s="9" t="n"/>
      <c r="AM997" s="10" t="n"/>
    </row>
    <row r="998" ht="12.75" customHeight="1" s="562">
      <c r="E998" s="55" t="n"/>
      <c r="N998" s="10" t="n"/>
      <c r="O998" s="6" t="n"/>
      <c r="T998" s="6" t="n"/>
      <c r="Z998" s="6" t="n"/>
      <c r="AB998" s="9" t="n"/>
      <c r="AC998" s="9" t="n"/>
      <c r="AD998" s="9" t="n"/>
      <c r="AE998" s="9" t="n"/>
      <c r="AF998" s="9" t="n"/>
      <c r="AG998" s="9" t="n"/>
      <c r="AH998" s="9" t="n"/>
      <c r="AI998" s="9" t="n"/>
      <c r="AJ998" s="9" t="n"/>
      <c r="AK998" s="9" t="n"/>
      <c r="AL998" s="9" t="n"/>
      <c r="AM998" s="10" t="n"/>
    </row>
    <row r="999" ht="12.75" customHeight="1" s="562">
      <c r="E999" s="55" t="n"/>
      <c r="N999" s="10" t="n"/>
      <c r="O999" s="6" t="n"/>
      <c r="T999" s="6" t="n"/>
      <c r="Z999" s="6" t="n"/>
      <c r="AB999" s="9" t="n"/>
      <c r="AC999" s="9" t="n"/>
      <c r="AD999" s="9" t="n"/>
      <c r="AE999" s="9" t="n"/>
      <c r="AF999" s="9" t="n"/>
      <c r="AG999" s="9" t="n"/>
      <c r="AH999" s="9" t="n"/>
      <c r="AI999" s="9" t="n"/>
      <c r="AJ999" s="9" t="n"/>
      <c r="AK999" s="9" t="n"/>
      <c r="AL999" s="9" t="n"/>
      <c r="AM999" s="10" t="n"/>
    </row>
    <row r="1000" ht="12.75" customHeight="1" s="562">
      <c r="E1000" s="55" t="n"/>
      <c r="N1000" s="10" t="n"/>
      <c r="O1000" s="6" t="n"/>
      <c r="T1000" s="6" t="n"/>
      <c r="Z1000" s="6" t="n"/>
      <c r="AB1000" s="9" t="n"/>
      <c r="AC1000" s="9" t="n"/>
      <c r="AD1000" s="9" t="n"/>
      <c r="AE1000" s="9" t="n"/>
      <c r="AF1000" s="9" t="n"/>
      <c r="AG1000" s="9" t="n"/>
      <c r="AH1000" s="9" t="n"/>
      <c r="AI1000" s="9" t="n"/>
      <c r="AJ1000" s="9" t="n"/>
      <c r="AK1000" s="9" t="n"/>
      <c r="AL1000" s="9" t="n"/>
      <c r="AM1000" s="10" t="n"/>
    </row>
  </sheetData>
  <mergeCells count="126">
    <mergeCell ref="B11:D11"/>
    <mergeCell ref="J56:M56"/>
    <mergeCell ref="AC9:AI9"/>
    <mergeCell ref="AQ32:AR32"/>
    <mergeCell ref="L28:L31"/>
    <mergeCell ref="I23:I27"/>
    <mergeCell ref="Q55:R55"/>
    <mergeCell ref="F15:G15"/>
    <mergeCell ref="Q51:R51"/>
    <mergeCell ref="P30:P32"/>
    <mergeCell ref="AC33:AD33"/>
    <mergeCell ref="AE33:AF33"/>
    <mergeCell ref="J67:M67"/>
    <mergeCell ref="Q26:R26"/>
    <mergeCell ref="Q35:R35"/>
    <mergeCell ref="AQ18:AR18"/>
    <mergeCell ref="I40:I44"/>
    <mergeCell ref="O15:R15"/>
    <mergeCell ref="J59:M59"/>
    <mergeCell ref="AC35:AD35"/>
    <mergeCell ref="J60:M60"/>
    <mergeCell ref="J69:M69"/>
    <mergeCell ref="Q49:R49"/>
    <mergeCell ref="Q27:R27"/>
    <mergeCell ref="AQ35:AR35"/>
    <mergeCell ref="Q30:R30"/>
    <mergeCell ref="AQ34:AR34"/>
    <mergeCell ref="O16:R16"/>
    <mergeCell ref="AC36:AD36"/>
    <mergeCell ref="P62:R63"/>
    <mergeCell ref="AQ27:AR27"/>
    <mergeCell ref="Q53:R53"/>
    <mergeCell ref="I55:I57"/>
    <mergeCell ref="AQ36:AR36"/>
    <mergeCell ref="AQ30:AR30"/>
    <mergeCell ref="P65:R65"/>
    <mergeCell ref="AQ20:AR20"/>
    <mergeCell ref="Q37:R37"/>
    <mergeCell ref="I33:I39"/>
    <mergeCell ref="Q52:R52"/>
    <mergeCell ref="J62:M62"/>
    <mergeCell ref="AQ22:AR22"/>
    <mergeCell ref="Q39:R39"/>
    <mergeCell ref="L43:L44"/>
    <mergeCell ref="Q54:R54"/>
    <mergeCell ref="Q29:R29"/>
    <mergeCell ref="Q23:R23"/>
    <mergeCell ref="AQ21:AR21"/>
    <mergeCell ref="J64:M64"/>
    <mergeCell ref="Q38:R38"/>
    <mergeCell ref="P66:R66"/>
    <mergeCell ref="O11:S14"/>
    <mergeCell ref="C31:C32"/>
    <mergeCell ref="F42:G42"/>
    <mergeCell ref="J57:M57"/>
    <mergeCell ref="Q31:R31"/>
    <mergeCell ref="P33:P52"/>
    <mergeCell ref="Q40:R40"/>
    <mergeCell ref="F28:G28"/>
    <mergeCell ref="J68:M68"/>
    <mergeCell ref="P53:P56"/>
    <mergeCell ref="AG33:AH33"/>
    <mergeCell ref="Q57:R57"/>
    <mergeCell ref="AG35:AH35"/>
    <mergeCell ref="AC17:AD17"/>
    <mergeCell ref="P64:Q64"/>
    <mergeCell ref="W34:X34"/>
    <mergeCell ref="P23:P29"/>
    <mergeCell ref="Q28:R28"/>
    <mergeCell ref="AQ25:AR25"/>
    <mergeCell ref="Q42:R42"/>
    <mergeCell ref="AE35:AF35"/>
    <mergeCell ref="D8:E9"/>
    <mergeCell ref="L25:L26"/>
    <mergeCell ref="Q59:R59"/>
    <mergeCell ref="AQ29:AR29"/>
    <mergeCell ref="Q46:R46"/>
    <mergeCell ref="AQ23:AR23"/>
    <mergeCell ref="F22:G22"/>
    <mergeCell ref="J65:M65"/>
    <mergeCell ref="AQ31:AR31"/>
    <mergeCell ref="Q48:R48"/>
    <mergeCell ref="P67:S67"/>
    <mergeCell ref="Q45:R45"/>
    <mergeCell ref="Q32:R32"/>
    <mergeCell ref="AQ24:AR24"/>
    <mergeCell ref="Q41:R41"/>
    <mergeCell ref="K49:K50"/>
    <mergeCell ref="Q47:R47"/>
    <mergeCell ref="Q56:R56"/>
    <mergeCell ref="Q25:R25"/>
    <mergeCell ref="J66:M66"/>
    <mergeCell ref="AQ26:AR26"/>
    <mergeCell ref="Q43:R43"/>
    <mergeCell ref="S17:S18"/>
    <mergeCell ref="AQ9:AW9"/>
    <mergeCell ref="Q24:R24"/>
    <mergeCell ref="P68:S68"/>
    <mergeCell ref="Q33:R33"/>
    <mergeCell ref="F13:G14"/>
    <mergeCell ref="AC18:AD18"/>
    <mergeCell ref="I48:I54"/>
    <mergeCell ref="S19:S20"/>
    <mergeCell ref="C25:D25"/>
    <mergeCell ref="Q58:R58"/>
    <mergeCell ref="AQ33:AR33"/>
    <mergeCell ref="Q50:R50"/>
    <mergeCell ref="L23:L24"/>
    <mergeCell ref="J55:K55"/>
    <mergeCell ref="F23:F26"/>
    <mergeCell ref="P57:P58"/>
    <mergeCell ref="AQ17:AR17"/>
    <mergeCell ref="Q34:R34"/>
    <mergeCell ref="I45:I47"/>
    <mergeCell ref="AC34:AD34"/>
    <mergeCell ref="O17:R18"/>
    <mergeCell ref="Q44:R44"/>
    <mergeCell ref="AQ19:AR19"/>
    <mergeCell ref="Q36:R36"/>
    <mergeCell ref="AQ28:AR28"/>
    <mergeCell ref="L49:L50"/>
    <mergeCell ref="O19:R20"/>
    <mergeCell ref="I28:I32"/>
    <mergeCell ref="X9:Y9"/>
    <mergeCell ref="J63:M63"/>
    <mergeCell ref="S62:S63"/>
  </mergeCells>
  <dataValidations count="10">
    <dataValidation sqref="D3" showDropDown="0" showInputMessage="0" showErrorMessage="1" allowBlank="1" type="list">
      <formula1>"With Machining,Without Machining"</formula1>
    </dataValidation>
    <dataValidation sqref="G6:G7" showDropDown="0" showInputMessage="0" showErrorMessage="1" allowBlank="1" type="list">
      <formula1>"Lumpsum,Piece price"</formula1>
    </dataValidation>
    <dataValidation sqref="L12:L16" showDropDown="0" showInputMessage="0" showErrorMessage="1" allowBlank="1" type="list">
      <formula1>"NIL,1,2,3,4"</formula1>
    </dataValidation>
    <dataValidation sqref="D49" showDropDown="0" showInputMessage="0" showErrorMessage="1" allowBlank="1" type="list">
      <formula1>"YES,NO"</formula1>
    </dataValidation>
    <dataValidation sqref="C20" showDropDown="0" showInputMessage="0" showErrorMessage="1" allowBlank="1" type="list">
      <formula1>' Cost template'!$T$26:$T$44</formula1>
    </dataValidation>
    <dataValidation sqref="G2" showDropDown="0" showInputMessage="0" showErrorMessage="1" allowBlank="1" type="list">
      <formula1>"Lumpsum,Amortization"</formula1>
    </dataValidation>
    <dataValidation sqref="C10" showDropDown="0" showInputMessage="0" showErrorMessage="1" allowBlank="1" type="list">
      <formula1>"Domestic,Export"</formula1>
    </dataValidation>
    <dataValidation sqref="C3" showDropDown="0" showInputMessage="0" showErrorMessage="1" allowBlank="1" type="list">
      <formula1>"PDC,GDC with core,GDC"</formula1>
    </dataValidation>
    <dataValidation sqref="D10" showDropDown="0" showInputMessage="0" showErrorMessage="1" allowBlank="1" type="list">
      <formula1>"Exwork,CIF"</formula1>
    </dataValidation>
    <dataValidation sqref="C9 L17" showDropDown="0" showInputMessage="0" showErrorMessage="1" allowBlank="1" type="list">
      <formula1>"1,2,3,4"</formula1>
    </dataValidation>
  </dataValidations>
  <pageMargins left="0.7" right="0.7" top="0.75" bottom="0.75" header="0" footer="0"/>
  <pageSetup orientation="portrait" paperSize="9"/>
  <headerFooter>
    <oddHeader/>
    <oddFooter>&amp;LClassification: FFA500Confidential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2026-06-03T11:19:01Z</dcterms:created>
  <dcterms:modified xsi:type="dcterms:W3CDTF">2026-06-03T11:19:01Z</dcterms:modified>
</cp:coreProperties>
</file>