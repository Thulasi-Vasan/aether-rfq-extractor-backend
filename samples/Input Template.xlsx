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put Sheet" sheetId="1" state="visible" r:id="rId1"/>
  </sheets>
  <externalReferences>
    <externalReference r:id="rId2"/>
    <externalReference r:id="rId3"/>
  </externalReferences>
  <definedNames/>
  <calcPr calcId="191029" fullCalcOnLoad="1" iterate="1"/>
</workbook>
</file>

<file path=xl/styles.xml><?xml version="1.0" encoding="utf-8"?>
<styleSheet xmlns="http://schemas.openxmlformats.org/spreadsheetml/2006/main">
  <numFmts count="13">
    <numFmt numFmtId="164" formatCode="_-* #,##0.00_-;\-* #,##0.00_-;_-* &quot;-&quot;??_-;_-@"/>
    <numFmt numFmtId="165" formatCode="[$-409]d\-mmm\-yy"/>
    <numFmt numFmtId="166" formatCode="0.000"/>
    <numFmt numFmtId="167" formatCode="0.0"/>
    <numFmt numFmtId="168" formatCode="_-* #,##0.0_-;\-* #,##0.0_-;_-* &quot;-&quot;??_-;_-@"/>
    <numFmt numFmtId="169" formatCode="_-* #,##0_-;\-* #,##0_-;_-* &quot;-&quot;??_-;_-@"/>
    <numFmt numFmtId="170" formatCode="#,##0.0"/>
    <numFmt numFmtId="171" formatCode="0.0%"/>
    <numFmt numFmtId="172" formatCode="_(&quot;$&quot;* #,##0_);_(&quot;$&quot;* \(#,##0\);_(&quot;$&quot;* &quot;-&quot;??_);_(@_)"/>
    <numFmt numFmtId="173" formatCode="[$€-2]\ #,##0.00_);\([$€-2]\ #,##0.00\)"/>
    <numFmt numFmtId="174" formatCode="_ * #,##0.00_ ;_ * \-#,##0.00_ ;_ * &quot;-&quot;??_ ;_ @_ "/>
    <numFmt numFmtId="175" formatCode="_-* #,##0.00_-;\-* #,##0.00_-;_-* &quot;-&quot;??_-;_-@_-"/>
    <numFmt numFmtId="176" formatCode="#,##0.00000"/>
  </numFmts>
  <fonts count="26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Poppins"/>
      <color theme="1"/>
      <sz val="10"/>
    </font>
    <font>
      <name val="Arial"/>
      <family val="2"/>
      <color theme="1"/>
      <sz val="10"/>
      <scheme val="minor"/>
    </font>
    <font>
      <name val="&quot;Futura MT&quot;"/>
      <color theme="1"/>
      <sz val="10"/>
    </font>
    <font>
      <name val="Poppins"/>
      <b val="1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2"/>
      <u val="single"/>
    </font>
    <font>
      <name val="Arial"/>
      <family val="2"/>
      <b val="1"/>
      <color theme="1"/>
      <sz val="24"/>
    </font>
    <font>
      <name val="Arial"/>
      <family val="2"/>
      <b val="1"/>
      <color theme="1"/>
      <sz val="11"/>
    </font>
    <font>
      <name val="Arial"/>
      <family val="2"/>
      <color rgb="FFFF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  <u val="single"/>
    </font>
    <font>
      <name val="Arial"/>
      <family val="2"/>
      <color theme="1"/>
      <sz val="12"/>
    </font>
    <font>
      <name val="Arial"/>
      <family val="2"/>
      <b val="1"/>
      <color theme="1"/>
      <sz val="12"/>
      <u val="single"/>
    </font>
    <font>
      <name val="Arial"/>
      <family val="2"/>
      <b val="1"/>
      <color theme="1"/>
      <sz val="12"/>
      <u val="single"/>
    </font>
    <font>
      <name val="Arial"/>
      <family val="2"/>
      <color rgb="FF0000CC"/>
      <sz val="11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theme="1"/>
      <sz val="14"/>
    </font>
    <font>
      <name val="Poppins"/>
      <b val="1"/>
      <color theme="1"/>
      <sz val="10"/>
      <u val="single"/>
    </font>
    <font>
      <name val="Arial"/>
      <color rgb="FF000000"/>
      <sz val="10"/>
      <scheme val="minor"/>
    </font>
    <font>
      <name val="Arial"/>
      <family val="2"/>
      <sz val="10"/>
    </font>
  </fonts>
  <fills count="13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A9694"/>
        <bgColor rgb="FFDA9694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D99594"/>
        <bgColor rgb="FFD9959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1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</borders>
  <cellStyleXfs count="2">
    <xf numFmtId="0" fontId="24" fillId="0" borderId="3"/>
    <xf numFmtId="43" fontId="24" fillId="0" borderId="3"/>
  </cellStyleXfs>
  <cellXfs count="651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  <xf numFmtId="0" fontId="1" fillId="0" borderId="4" applyAlignment="1" pivotButton="0" quotePrefix="0" xfId="0">
      <alignment horizontal="left"/>
    </xf>
    <xf numFmtId="0" fontId="1" fillId="2" borderId="5" pivotButton="0" quotePrefix="0" xfId="0"/>
    <xf numFmtId="0" fontId="2" fillId="0" borderId="6" pivotButton="0" quotePrefix="0" xfId="0"/>
    <xf numFmtId="0" fontId="2" fillId="3" borderId="7" applyAlignment="1" pivotButton="0" quotePrefix="0" xfId="0">
      <alignment horizontal="center"/>
    </xf>
    <xf numFmtId="165" fontId="2" fillId="2" borderId="4" applyAlignment="1" pivotButton="0" quotePrefix="0" xfId="0">
      <alignment horizontal="center"/>
    </xf>
    <xf numFmtId="0" fontId="3" fillId="0" borderId="8" pivotButton="0" quotePrefix="0" xfId="0"/>
    <xf numFmtId="0" fontId="3" fillId="0" borderId="8" applyAlignment="1" pivotButton="0" quotePrefix="0" xfId="0">
      <alignment horizontal="center"/>
    </xf>
    <xf numFmtId="9" fontId="3" fillId="0" borderId="0" pivotButton="0" quotePrefix="0" xfId="0"/>
    <xf numFmtId="0" fontId="1" fillId="0" borderId="9" pivotButton="0" quotePrefix="0" xfId="0"/>
    <xf numFmtId="0" fontId="1" fillId="2" borderId="10" pivotButton="0" quotePrefix="0" xfId="0"/>
    <xf numFmtId="0" fontId="1" fillId="2" borderId="11" pivotButton="0" quotePrefix="0" xfId="0"/>
    <xf numFmtId="0" fontId="2" fillId="3" borderId="12" applyAlignment="1" pivotButton="0" quotePrefix="0" xfId="0">
      <alignment horizontal="center"/>
    </xf>
    <xf numFmtId="0" fontId="1" fillId="0" borderId="13" applyAlignment="1" pivotButton="0" quotePrefix="0" xfId="0">
      <alignment horizontal="left"/>
    </xf>
    <xf numFmtId="2" fontId="2" fillId="2" borderId="9" applyAlignment="1" pivotButton="0" quotePrefix="0" xfId="0">
      <alignment horizontal="center"/>
    </xf>
    <xf numFmtId="3" fontId="3" fillId="3" borderId="8" pivotButton="0" quotePrefix="0" xfId="0"/>
    <xf numFmtId="3" fontId="1" fillId="2" borderId="10" pivotButton="0" quotePrefix="0" xfId="0"/>
    <xf numFmtId="0" fontId="2" fillId="0" borderId="14" pivotButton="0" quotePrefix="0" xfId="0"/>
    <xf numFmtId="0" fontId="1" fillId="0" borderId="9" applyAlignment="1" pivotButton="0" quotePrefix="0" xfId="0">
      <alignment horizontal="left"/>
    </xf>
    <xf numFmtId="3" fontId="2" fillId="2" borderId="9" applyAlignment="1" pivotButton="0" quotePrefix="0" xfId="0">
      <alignment horizontal="center"/>
    </xf>
    <xf numFmtId="164" fontId="5" fillId="2" borderId="8" pivotButton="0" quotePrefix="0" xfId="0"/>
    <xf numFmtId="164" fontId="3" fillId="0" borderId="0" pivotButton="0" quotePrefix="0" xfId="0"/>
    <xf numFmtId="0" fontId="6" fillId="0" borderId="0" pivotButton="0" quotePrefix="0" xfId="0"/>
    <xf numFmtId="0" fontId="7" fillId="3" borderId="3" applyAlignment="1" pivotButton="0" quotePrefix="0" xfId="0">
      <alignment vertical="center"/>
    </xf>
    <xf numFmtId="166" fontId="2" fillId="2" borderId="9" applyAlignment="1" pivotButton="0" quotePrefix="0" xfId="0">
      <alignment horizontal="center" wrapText="1"/>
    </xf>
    <xf numFmtId="0" fontId="1" fillId="2" borderId="10" applyAlignment="1" pivotButton="0" quotePrefix="0" xfId="0">
      <alignment horizontal="center"/>
    </xf>
    <xf numFmtId="166" fontId="2" fillId="4" borderId="9" applyAlignment="1" pivotButton="0" quotePrefix="0" xfId="0">
      <alignment horizontal="center"/>
    </xf>
    <xf numFmtId="0" fontId="8" fillId="0" borderId="8" applyAlignment="1" pivotButton="0" quotePrefix="0" xfId="0">
      <alignment horizontal="left"/>
    </xf>
    <xf numFmtId="0" fontId="1" fillId="0" borderId="8" pivotButton="0" quotePrefix="0" xfId="0"/>
    <xf numFmtId="0" fontId="9" fillId="3" borderId="8" applyAlignment="1" pivotButton="0" quotePrefix="0" xfId="0">
      <alignment horizontal="center"/>
    </xf>
    <xf numFmtId="0" fontId="1" fillId="0" borderId="1" applyAlignment="1" pivotButton="0" quotePrefix="0" xfId="0">
      <alignment horizontal="right" vertical="center"/>
    </xf>
    <xf numFmtId="0" fontId="10" fillId="0" borderId="8" applyAlignment="1" pivotButton="0" quotePrefix="0" xfId="0">
      <alignment horizontal="left"/>
    </xf>
    <xf numFmtId="164" fontId="7" fillId="0" borderId="8" applyAlignment="1" pivotButton="0" quotePrefix="0" xfId="0">
      <alignment horizontal="left"/>
    </xf>
    <xf numFmtId="0" fontId="3" fillId="3" borderId="3" pivotButton="0" quotePrefix="0" xfId="0"/>
    <xf numFmtId="0" fontId="1" fillId="0" borderId="17" pivotButton="0" quotePrefix="0" xfId="0"/>
    <xf numFmtId="0" fontId="11" fillId="2" borderId="18" pivotButton="0" quotePrefix="0" xfId="0"/>
    <xf numFmtId="0" fontId="1" fillId="3" borderId="19" applyAlignment="1" pivotButton="0" quotePrefix="0" xfId="0">
      <alignment horizontal="left"/>
    </xf>
    <xf numFmtId="0" fontId="1" fillId="0" borderId="9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6" fillId="2" borderId="3" pivotButton="0" quotePrefix="0" xfId="0"/>
    <xf numFmtId="167" fontId="12" fillId="2" borderId="8" applyAlignment="1" pivotButton="0" quotePrefix="0" xfId="0">
      <alignment horizontal="center"/>
    </xf>
    <xf numFmtId="168" fontId="12" fillId="2" borderId="8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3" borderId="5" applyAlignment="1" pivotButton="0" quotePrefix="0" xfId="0">
      <alignment horizontal="left"/>
    </xf>
    <xf numFmtId="0" fontId="1" fillId="3" borderId="21" applyAlignment="1" pivotButton="0" quotePrefix="0" xfId="0">
      <alignment horizontal="center"/>
    </xf>
    <xf numFmtId="0" fontId="1" fillId="3" borderId="22" pivotButton="0" quotePrefix="0" xfId="0"/>
    <xf numFmtId="0" fontId="1" fillId="3" borderId="22" applyAlignment="1" pivotButton="0" quotePrefix="0" xfId="0">
      <alignment horizontal="left"/>
    </xf>
    <xf numFmtId="0" fontId="1" fillId="3" borderId="21" pivotButton="0" quotePrefix="0" xfId="0"/>
    <xf numFmtId="165" fontId="2" fillId="3" borderId="21" applyAlignment="1" pivotButton="0" quotePrefix="0" xfId="0">
      <alignment horizontal="center"/>
    </xf>
    <xf numFmtId="0" fontId="7" fillId="0" borderId="8" applyAlignment="1" pivotButton="0" quotePrefix="0" xfId="0">
      <alignment horizontal="left"/>
    </xf>
    <xf numFmtId="0" fontId="3" fillId="2" borderId="8" applyAlignment="1" pivotButton="0" quotePrefix="0" xfId="0">
      <alignment vertical="center"/>
    </xf>
    <xf numFmtId="0" fontId="2" fillId="3" borderId="5" applyAlignment="1" pivotButton="0" quotePrefix="0" xfId="0">
      <alignment horizontal="center"/>
    </xf>
    <xf numFmtId="0" fontId="13" fillId="3" borderId="25" applyAlignment="1" pivotButton="0" quotePrefix="0" xfId="0">
      <alignment horizontal="center" vertical="center"/>
    </xf>
    <xf numFmtId="0" fontId="1" fillId="0" borderId="1" pivotButton="0" quotePrefix="0" xfId="0"/>
    <xf numFmtId="0" fontId="13" fillId="3" borderId="2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164" fontId="1" fillId="3" borderId="28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/>
    </xf>
    <xf numFmtId="169" fontId="14" fillId="2" borderId="8" applyAlignment="1" pivotButton="0" quotePrefix="0" xfId="0">
      <alignment horizontal="center"/>
    </xf>
    <xf numFmtId="0" fontId="1" fillId="0" borderId="9" applyAlignment="1" pivotButton="0" quotePrefix="0" xfId="0">
      <alignment horizontal="left" vertical="center"/>
    </xf>
    <xf numFmtId="1" fontId="2" fillId="3" borderId="10" applyAlignment="1" pivotButton="0" quotePrefix="0" xfId="0">
      <alignment horizontal="left" vertical="center"/>
    </xf>
    <xf numFmtId="0" fontId="1" fillId="3" borderId="11" applyAlignment="1" pivotButton="0" quotePrefix="0" xfId="0">
      <alignment horizontal="center"/>
    </xf>
    <xf numFmtId="0" fontId="1" fillId="3" borderId="31" pivotButton="0" quotePrefix="0" xfId="0"/>
    <xf numFmtId="0" fontId="1" fillId="3" borderId="31" applyAlignment="1" pivotButton="0" quotePrefix="0" xfId="0">
      <alignment horizontal="left"/>
    </xf>
    <xf numFmtId="0" fontId="1" fillId="3" borderId="11" pivotButton="0" quotePrefix="0" xfId="0"/>
    <xf numFmtId="3" fontId="2" fillId="3" borderId="11" applyAlignment="1" pivotButton="0" quotePrefix="0" xfId="0">
      <alignment horizontal="center"/>
    </xf>
    <xf numFmtId="1" fontId="2" fillId="3" borderId="10" applyAlignment="1" pivotButton="0" quotePrefix="0" xfId="0">
      <alignment horizontal="center"/>
    </xf>
    <xf numFmtId="0" fontId="1" fillId="0" borderId="32" pivotButton="0" quotePrefix="0" xfId="0"/>
    <xf numFmtId="167" fontId="2" fillId="0" borderId="33" applyAlignment="1" pivotButton="0" quotePrefix="0" xfId="0">
      <alignment horizontal="center" vertical="center"/>
    </xf>
    <xf numFmtId="167" fontId="2" fillId="0" borderId="34" pivotButton="0" quotePrefix="0" xfId="0"/>
    <xf numFmtId="0" fontId="1" fillId="0" borderId="35" applyAlignment="1" pivotButton="0" quotePrefix="0" xfId="0">
      <alignment horizontal="center"/>
    </xf>
    <xf numFmtId="0" fontId="1" fillId="0" borderId="36" pivotButton="0" quotePrefix="0" xfId="0"/>
    <xf numFmtId="0" fontId="1" fillId="3" borderId="37" applyAlignment="1" pivotButton="0" quotePrefix="0" xfId="0">
      <alignment wrapText="1"/>
    </xf>
    <xf numFmtId="0" fontId="1" fillId="3" borderId="37" applyAlignment="1" pivotButton="0" quotePrefix="0" xfId="0">
      <alignment horizontal="center"/>
    </xf>
    <xf numFmtId="170" fontId="1" fillId="2" borderId="4" applyAlignment="1" pivotButton="0" quotePrefix="0" xfId="0">
      <alignment horizontal="center"/>
    </xf>
    <xf numFmtId="164" fontId="1" fillId="2" borderId="4" applyAlignment="1" pivotButton="0" quotePrefix="0" xfId="0">
      <alignment horizontal="center"/>
    </xf>
    <xf numFmtId="3" fontId="12" fillId="2" borderId="8" applyAlignment="1" pivotButton="0" quotePrefix="0" xfId="0">
      <alignment horizontal="center"/>
    </xf>
    <xf numFmtId="3" fontId="2" fillId="0" borderId="20" applyAlignment="1" pivotButton="0" quotePrefix="0" xfId="0">
      <alignment horizontal="center"/>
    </xf>
    <xf numFmtId="0" fontId="2" fillId="3" borderId="10" applyAlignment="1" pivotButton="0" quotePrefix="0" xfId="0">
      <alignment horizontal="left"/>
    </xf>
    <xf numFmtId="0" fontId="2" fillId="3" borderId="10" applyAlignment="1" pivotButton="0" quotePrefix="0" xfId="0">
      <alignment horizontal="center"/>
    </xf>
    <xf numFmtId="0" fontId="1" fillId="0" borderId="39" pivotButton="0" quotePrefix="0" xfId="0"/>
    <xf numFmtId="9" fontId="2" fillId="0" borderId="34" applyAlignment="1" pivotButton="0" quotePrefix="0" xfId="0">
      <alignment horizontal="center" vertical="center"/>
    </xf>
    <xf numFmtId="0" fontId="1" fillId="0" borderId="41" pivotButton="0" quotePrefix="0" xfId="0"/>
    <xf numFmtId="0" fontId="1" fillId="3" borderId="31" applyAlignment="1" pivotButton="0" quotePrefix="0" xfId="0">
      <alignment wrapText="1"/>
    </xf>
    <xf numFmtId="0" fontId="1" fillId="3" borderId="31" applyAlignment="1" pivotButton="0" quotePrefix="0" xfId="0">
      <alignment horizontal="center"/>
    </xf>
    <xf numFmtId="170" fontId="1" fillId="2" borderId="9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6" applyAlignment="1" pivotButton="0" quotePrefix="0" xfId="0">
      <alignment horizontal="left"/>
    </xf>
    <xf numFmtId="9" fontId="12" fillId="2" borderId="8" applyAlignment="1" pivotButton="0" quotePrefix="0" xfId="0">
      <alignment horizontal="center"/>
    </xf>
    <xf numFmtId="171" fontId="2" fillId="0" borderId="42" applyAlignment="1" pivotButton="0" quotePrefix="0" xfId="0">
      <alignment horizontal="center"/>
    </xf>
    <xf numFmtId="49" fontId="2" fillId="3" borderId="10" applyAlignment="1" pivotButton="0" quotePrefix="0" xfId="0">
      <alignment horizontal="left"/>
    </xf>
    <xf numFmtId="2" fontId="2" fillId="3" borderId="11" applyAlignment="1" pivotButton="0" quotePrefix="0" xfId="0">
      <alignment horizontal="center"/>
    </xf>
    <xf numFmtId="169" fontId="7" fillId="2" borderId="8" applyAlignment="1" pivotButton="0" quotePrefix="0" xfId="0">
      <alignment horizontal="left"/>
    </xf>
    <xf numFmtId="166" fontId="2" fillId="3" borderId="11" applyAlignment="1" pivotButton="0" quotePrefix="0" xfId="0">
      <alignment horizontal="center"/>
    </xf>
    <xf numFmtId="167" fontId="2" fillId="0" borderId="34" applyAlignment="1" pivotButton="0" quotePrefix="0" xfId="0">
      <alignment horizontal="center" vertical="center"/>
    </xf>
    <xf numFmtId="0" fontId="1" fillId="0" borderId="47" pivotButton="0" quotePrefix="0" xfId="0"/>
    <xf numFmtId="0" fontId="12" fillId="2" borderId="48" applyAlignment="1" pivotButton="0" quotePrefix="0" xfId="0">
      <alignment horizontal="center"/>
    </xf>
    <xf numFmtId="169" fontId="12" fillId="6" borderId="14" applyAlignment="1" pivotButton="0" quotePrefix="0" xfId="0">
      <alignment horizontal="center"/>
    </xf>
    <xf numFmtId="1" fontId="2" fillId="0" borderId="49" applyAlignment="1" pivotButton="0" quotePrefix="0" xfId="0">
      <alignment horizontal="center" vertical="center" wrapText="1"/>
    </xf>
    <xf numFmtId="0" fontId="2" fillId="3" borderId="31" pivotButton="0" quotePrefix="0" xfId="0"/>
    <xf numFmtId="0" fontId="2" fillId="3" borderId="11" pivotButton="0" quotePrefix="0" xfId="0"/>
    <xf numFmtId="0" fontId="2" fillId="3" borderId="11" applyAlignment="1" pivotButton="0" quotePrefix="0" xfId="0">
      <alignment horizontal="center"/>
    </xf>
    <xf numFmtId="172" fontId="7" fillId="0" borderId="8" applyAlignment="1" pivotButton="0" quotePrefix="0" xfId="0">
      <alignment horizontal="left"/>
    </xf>
    <xf numFmtId="1" fontId="2" fillId="0" borderId="3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/>
    </xf>
    <xf numFmtId="0" fontId="1" fillId="0" borderId="53" pivotButton="0" quotePrefix="0" xfId="0"/>
    <xf numFmtId="0" fontId="1" fillId="0" borderId="54" applyAlignment="1" pivotButton="0" quotePrefix="0" xfId="0">
      <alignment horizontal="center"/>
    </xf>
    <xf numFmtId="0" fontId="1" fillId="0" borderId="54" pivotButton="0" quotePrefix="0" xfId="0"/>
    <xf numFmtId="0" fontId="1" fillId="0" borderId="40" pivotButton="0" quotePrefix="0" xfId="0"/>
    <xf numFmtId="0" fontId="1" fillId="0" borderId="55" pivotButton="0" quotePrefix="0" xfId="0"/>
    <xf numFmtId="0" fontId="2" fillId="3" borderId="56" applyAlignment="1" pivotButton="0" quotePrefix="0" xfId="0">
      <alignment horizontal="left"/>
    </xf>
    <xf numFmtId="0" fontId="1" fillId="3" borderId="57" applyAlignment="1" pivotButton="0" quotePrefix="0" xfId="0">
      <alignment horizontal="center"/>
    </xf>
    <xf numFmtId="0" fontId="1" fillId="3" borderId="58" pivotButton="0" quotePrefix="0" xfId="0"/>
    <xf numFmtId="0" fontId="1" fillId="3" borderId="57" pivotButton="0" quotePrefix="0" xfId="0"/>
    <xf numFmtId="167" fontId="2" fillId="3" borderId="57" applyAlignment="1" pivotButton="0" quotePrefix="0" xfId="0">
      <alignment horizontal="center"/>
    </xf>
    <xf numFmtId="169" fontId="7" fillId="0" borderId="8" applyAlignment="1" pivotButton="0" quotePrefix="0" xfId="0">
      <alignment horizontal="left"/>
    </xf>
    <xf numFmtId="0" fontId="2" fillId="3" borderId="56" applyAlignment="1" pivotButton="0" quotePrefix="0" xfId="0">
      <alignment horizontal="center"/>
    </xf>
    <xf numFmtId="2" fontId="2" fillId="0" borderId="34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top" wrapText="1"/>
    </xf>
    <xf numFmtId="1" fontId="2" fillId="3" borderId="59" applyAlignment="1" pivotButton="0" quotePrefix="0" xfId="0">
      <alignment horizontal="center"/>
    </xf>
    <xf numFmtId="0" fontId="1" fillId="2" borderId="9" applyAlignment="1" pivotButton="0" quotePrefix="0" xfId="0">
      <alignment horizontal="center" wrapText="1"/>
    </xf>
    <xf numFmtId="0" fontId="15" fillId="0" borderId="62" pivotButton="0" quotePrefix="0" xfId="0"/>
    <xf numFmtId="0" fontId="2" fillId="0" borderId="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" fillId="0" borderId="38" pivotButton="0" quotePrefix="0" xfId="0"/>
    <xf numFmtId="0" fontId="1" fillId="0" borderId="14" applyAlignment="1" pivotButton="0" quotePrefix="0" xfId="0">
      <alignment horizontal="right"/>
    </xf>
    <xf numFmtId="173" fontId="3" fillId="0" borderId="0" pivotButton="0" quotePrefix="0" xfId="0"/>
    <xf numFmtId="1" fontId="2" fillId="0" borderId="34" applyAlignment="1" pivotButton="0" quotePrefix="0" xfId="0">
      <alignment horizontal="center" vertical="center" wrapText="1"/>
    </xf>
    <xf numFmtId="0" fontId="1" fillId="0" borderId="65" pivotButton="0" quotePrefix="0" xfId="0"/>
    <xf numFmtId="0" fontId="1" fillId="0" borderId="16" pivotButton="0" quotePrefix="0" xfId="0"/>
    <xf numFmtId="4" fontId="2" fillId="2" borderId="8" applyAlignment="1" pivotButton="0" quotePrefix="0" xfId="0">
      <alignment horizontal="right"/>
    </xf>
    <xf numFmtId="3" fontId="2" fillId="3" borderId="66" applyAlignment="1" pivotButton="0" quotePrefix="0" xfId="0">
      <alignment horizontal="right"/>
    </xf>
    <xf numFmtId="0" fontId="3" fillId="0" borderId="48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 wrapText="1"/>
    </xf>
    <xf numFmtId="173" fontId="7" fillId="7" borderId="28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wrapText="1"/>
    </xf>
    <xf numFmtId="1" fontId="2" fillId="3" borderId="5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/>
    </xf>
    <xf numFmtId="3" fontId="2" fillId="2" borderId="8" applyAlignment="1" pivotButton="0" quotePrefix="0" xfId="0">
      <alignment horizontal="right"/>
    </xf>
    <xf numFmtId="0" fontId="1" fillId="3" borderId="8" applyAlignment="1" pivotButton="0" quotePrefix="0" xfId="0">
      <alignment horizontal="left" vertical="center" wrapText="1"/>
    </xf>
    <xf numFmtId="174" fontId="1" fillId="3" borderId="8" applyAlignment="1" pivotButton="0" quotePrefix="0" xfId="0">
      <alignment horizontal="center" vertical="center" wrapText="1"/>
    </xf>
    <xf numFmtId="164" fontId="1" fillId="3" borderId="8" applyAlignment="1" pivotButton="0" quotePrefix="0" xfId="0">
      <alignment horizontal="center" vertical="center"/>
    </xf>
    <xf numFmtId="175" fontId="1" fillId="0" borderId="0" pivotButton="0" quotePrefix="0" xfId="0"/>
    <xf numFmtId="0" fontId="10" fillId="0" borderId="67" applyAlignment="1" pivotButton="0" quotePrefix="0" xfId="0">
      <alignment horizontal="left" vertical="center"/>
    </xf>
    <xf numFmtId="164" fontId="10" fillId="0" borderId="68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wrapText="1"/>
    </xf>
    <xf numFmtId="167" fontId="1" fillId="2" borderId="8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164" fontId="1" fillId="0" borderId="8" pivotButton="0" quotePrefix="0" xfId="0"/>
    <xf numFmtId="0" fontId="1" fillId="0" borderId="8" applyAlignment="1" pivotButton="0" quotePrefix="0" xfId="0">
      <alignment horizontal="center"/>
    </xf>
    <xf numFmtId="164" fontId="1" fillId="3" borderId="8" applyAlignment="1" pivotButton="0" quotePrefix="0" xfId="0">
      <alignment horizontal="right"/>
    </xf>
    <xf numFmtId="9" fontId="1" fillId="0" borderId="0" pivotButton="0" quotePrefix="0" xfId="0"/>
    <xf numFmtId="2" fontId="10" fillId="2" borderId="8" applyAlignment="1" pivotButton="0" quotePrefix="0" xfId="0">
      <alignment horizontal="center" vertical="center"/>
    </xf>
    <xf numFmtId="0" fontId="10" fillId="0" borderId="16" applyAlignment="1" pivotButton="0" quotePrefix="0" xfId="0">
      <alignment horizontal="left" vertical="center"/>
    </xf>
    <xf numFmtId="164" fontId="10" fillId="0" borderId="20" applyAlignment="1" pivotButton="0" quotePrefix="0" xfId="0">
      <alignment horizontal="left" vertical="center"/>
    </xf>
    <xf numFmtId="1" fontId="2" fillId="2" borderId="69" applyAlignment="1" pivotButton="0" quotePrefix="0" xfId="0">
      <alignment horizontal="center" vertical="center"/>
    </xf>
    <xf numFmtId="1" fontId="2" fillId="0" borderId="34" applyAlignment="1" pivotButton="0" quotePrefix="0" xfId="0">
      <alignment vertical="center"/>
    </xf>
    <xf numFmtId="0" fontId="2" fillId="0" borderId="59" applyAlignment="1" pivotButton="0" quotePrefix="0" xfId="0">
      <alignment horizontal="center"/>
    </xf>
    <xf numFmtId="0" fontId="2" fillId="0" borderId="65" pivotButton="0" quotePrefix="0" xfId="0"/>
    <xf numFmtId="0" fontId="1" fillId="3" borderId="8" applyAlignment="1" pivotButton="0" quotePrefix="0" xfId="0">
      <alignment horizontal="left" vertical="center"/>
    </xf>
    <xf numFmtId="0" fontId="2" fillId="3" borderId="69" applyAlignment="1" pivotButton="0" quotePrefix="0" xfId="0">
      <alignment horizontal="center" vertical="center"/>
    </xf>
    <xf numFmtId="0" fontId="2" fillId="0" borderId="70" applyAlignment="1" pivotButton="0" quotePrefix="0" xfId="0">
      <alignment horizontal="center"/>
    </xf>
    <xf numFmtId="0" fontId="1" fillId="0" borderId="71" pivotButton="0" quotePrefix="0" xfId="0"/>
    <xf numFmtId="169" fontId="2" fillId="2" borderId="9" applyAlignment="1" pivotButton="0" quotePrefix="0" xfId="0">
      <alignment horizontal="center"/>
    </xf>
    <xf numFmtId="0" fontId="1" fillId="3" borderId="56" applyAlignment="1" pivotButton="0" quotePrefix="0" xfId="0">
      <alignment horizontal="left"/>
    </xf>
    <xf numFmtId="0" fontId="2" fillId="3" borderId="55" applyAlignment="1" pivotButton="0" quotePrefix="0" xfId="0">
      <alignment horizontal="center" vertical="center"/>
    </xf>
    <xf numFmtId="169" fontId="10" fillId="0" borderId="20" applyAlignment="1" pivotButton="0" quotePrefix="0" xfId="0">
      <alignment horizontal="left" vertical="center"/>
    </xf>
    <xf numFmtId="171" fontId="2" fillId="3" borderId="69" applyAlignment="1" pivotButton="0" quotePrefix="0" xfId="0">
      <alignment horizontal="center" vertical="center" wrapText="1"/>
    </xf>
    <xf numFmtId="9" fontId="2" fillId="0" borderId="34" pivotButton="0" quotePrefix="0" xfId="0"/>
    <xf numFmtId="0" fontId="13" fillId="0" borderId="0" applyAlignment="1" pivotButton="0" quotePrefix="0" xfId="0">
      <alignment horizontal="left"/>
    </xf>
    <xf numFmtId="164" fontId="1" fillId="0" borderId="1" applyAlignment="1" pivotButton="0" quotePrefix="0" xfId="0">
      <alignment horizontal="center" wrapText="1"/>
    </xf>
    <xf numFmtId="0" fontId="16" fillId="0" borderId="0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3" fillId="0" borderId="72" pivotButton="0" quotePrefix="0" xfId="0"/>
    <xf numFmtId="0" fontId="1" fillId="0" borderId="4" applyAlignment="1" pivotButton="0" quotePrefix="0" xfId="0">
      <alignment wrapText="1"/>
    </xf>
    <xf numFmtId="9" fontId="2" fillId="2" borderId="4" applyAlignment="1" pivotButton="0" quotePrefix="0" xfId="0">
      <alignment horizontal="center"/>
    </xf>
    <xf numFmtId="167" fontId="2" fillId="2" borderId="4" applyAlignment="1" pivotButton="0" quotePrefix="0" xfId="0">
      <alignment horizontal="center"/>
    </xf>
    <xf numFmtId="164" fontId="12" fillId="7" borderId="47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" fillId="0" borderId="73" pivotButton="0" quotePrefix="0" xfId="0"/>
    <xf numFmtId="0" fontId="1" fillId="0" borderId="6" pivotButton="0" quotePrefix="0" xfId="0"/>
    <xf numFmtId="3" fontId="2" fillId="0" borderId="47" applyAlignment="1" pivotButton="0" quotePrefix="0" xfId="0">
      <alignment horizontal="right"/>
    </xf>
    <xf numFmtId="164" fontId="2" fillId="0" borderId="8" applyAlignment="1" pivotButton="0" quotePrefix="0" xfId="0">
      <alignment horizontal="right"/>
    </xf>
    <xf numFmtId="0" fontId="10" fillId="0" borderId="74" applyAlignment="1" pivotButton="0" quotePrefix="0" xfId="0">
      <alignment horizontal="left" vertical="center"/>
    </xf>
    <xf numFmtId="164" fontId="10" fillId="0" borderId="75" applyAlignment="1" pivotButton="0" quotePrefix="0" xfId="0">
      <alignment horizontal="left" vertical="center"/>
    </xf>
    <xf numFmtId="0" fontId="1" fillId="0" borderId="76" pivotButton="0" quotePrefix="0" xfId="0"/>
    <xf numFmtId="0" fontId="1" fillId="0" borderId="77" applyAlignment="1" pivotButton="0" quotePrefix="0" xfId="0">
      <alignment horizontal="center"/>
    </xf>
    <xf numFmtId="0" fontId="1" fillId="3" borderId="19" applyAlignment="1" pivotButton="0" quotePrefix="0" xfId="0">
      <alignment horizontal="center"/>
    </xf>
    <xf numFmtId="0" fontId="1" fillId="2" borderId="78" applyAlignment="1" pivotButton="0" quotePrefix="0" xfId="0">
      <alignment horizontal="center" vertical="center"/>
    </xf>
    <xf numFmtId="0" fontId="1" fillId="0" borderId="9" applyAlignment="1" pivotButton="0" quotePrefix="0" xfId="0">
      <alignment wrapText="1"/>
    </xf>
    <xf numFmtId="167" fontId="2" fillId="2" borderId="9" applyAlignment="1" pivotButton="0" quotePrefix="0" xfId="0">
      <alignment horizontal="center"/>
    </xf>
    <xf numFmtId="0" fontId="2" fillId="0" borderId="16" pivotButton="0" quotePrefix="0" xfId="0"/>
    <xf numFmtId="4" fontId="13" fillId="0" borderId="8" applyAlignment="1" pivotButton="0" quotePrefix="0" xfId="0">
      <alignment horizontal="right"/>
    </xf>
    <xf numFmtId="164" fontId="13" fillId="0" borderId="8" applyAlignment="1" pivotButton="0" quotePrefix="0" xfId="0">
      <alignment horizontal="right"/>
    </xf>
    <xf numFmtId="3" fontId="13" fillId="0" borderId="1" applyAlignment="1" pivotButton="0" quotePrefix="0" xfId="0">
      <alignment horizontal="right"/>
    </xf>
    <xf numFmtId="0" fontId="2" fillId="5" borderId="79" pivotButton="0" quotePrefix="0" xfId="0"/>
    <xf numFmtId="0" fontId="1" fillId="0" borderId="80" applyAlignment="1" pivotButton="0" quotePrefix="0" xfId="0">
      <alignment vertical="center"/>
    </xf>
    <xf numFmtId="9" fontId="2" fillId="2" borderId="9" applyAlignment="1" pivotButton="0" quotePrefix="0" xfId="0">
      <alignment horizontal="center"/>
    </xf>
    <xf numFmtId="0" fontId="2" fillId="0" borderId="73" pivotButton="0" quotePrefix="0" xfId="0"/>
    <xf numFmtId="4" fontId="13" fillId="0" borderId="47" applyAlignment="1" pivotButton="0" quotePrefix="0" xfId="0">
      <alignment horizontal="right"/>
    </xf>
    <xf numFmtId="3" fontId="13" fillId="0" borderId="29" applyAlignment="1" pivotButton="0" quotePrefix="0" xfId="0">
      <alignment horizontal="right"/>
    </xf>
    <xf numFmtId="0" fontId="2" fillId="8" borderId="81" applyAlignment="1" pivotButton="0" quotePrefix="0" xfId="0">
      <alignment wrapText="1"/>
    </xf>
    <xf numFmtId="2" fontId="2" fillId="2" borderId="9" applyAlignment="1" pivotButton="0" quotePrefix="0" xfId="0">
      <alignment horizontal="center" vertical="center" wrapText="1"/>
    </xf>
    <xf numFmtId="2" fontId="2" fillId="2" borderId="4" applyAlignment="1" pivotButton="0" quotePrefix="0" xfId="0">
      <alignment horizontal="center"/>
    </xf>
    <xf numFmtId="0" fontId="2" fillId="3" borderId="82" applyAlignment="1" pivotButton="0" quotePrefix="0" xfId="0">
      <alignment horizontal="center"/>
    </xf>
    <xf numFmtId="0" fontId="1" fillId="0" borderId="83" applyAlignment="1" pivotButton="0" quotePrefix="0" xfId="0">
      <alignment vertical="center"/>
    </xf>
    <xf numFmtId="0" fontId="1" fillId="0" borderId="9" applyAlignment="1" pivotButton="0" quotePrefix="0" xfId="0">
      <alignment horizontal="left" wrapText="1"/>
    </xf>
    <xf numFmtId="0" fontId="2" fillId="0" borderId="2" pivotButton="0" quotePrefix="0" xfId="0"/>
    <xf numFmtId="164" fontId="13" fillId="0" borderId="2" applyAlignment="1" pivotButton="0" quotePrefix="0" xfId="0">
      <alignment horizontal="right"/>
    </xf>
    <xf numFmtId="3" fontId="13" fillId="0" borderId="2" applyAlignment="1" pivotButton="0" quotePrefix="0" xfId="0">
      <alignment horizontal="right"/>
    </xf>
    <xf numFmtId="0" fontId="1" fillId="0" borderId="84" applyAlignment="1" pivotButton="0" quotePrefix="0" xfId="0">
      <alignment vertical="center" wrapText="1"/>
    </xf>
    <xf numFmtId="2" fontId="2" fillId="2" borderId="85" applyAlignment="1" pivotButton="0" quotePrefix="0" xfId="0">
      <alignment horizontal="center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wrapText="1"/>
    </xf>
    <xf numFmtId="0" fontId="1" fillId="0" borderId="55" applyAlignment="1" pivotButton="0" quotePrefix="0" xfId="0">
      <alignment wrapText="1"/>
    </xf>
    <xf numFmtId="9" fontId="2" fillId="2" borderId="55" applyAlignment="1" pivotButton="0" quotePrefix="0" xfId="0">
      <alignment horizontal="center"/>
    </xf>
    <xf numFmtId="1" fontId="2" fillId="2" borderId="55" applyAlignment="1" pivotButton="0" quotePrefix="0" xfId="0">
      <alignment horizontal="center"/>
    </xf>
    <xf numFmtId="167" fontId="2" fillId="2" borderId="55" applyAlignment="1" pivotButton="0" quotePrefix="0" xfId="0">
      <alignment horizontal="center"/>
    </xf>
    <xf numFmtId="0" fontId="1" fillId="0" borderId="88" applyAlignment="1" pivotButton="0" quotePrefix="0" xfId="0">
      <alignment horizontal="left"/>
    </xf>
    <xf numFmtId="0" fontId="1" fillId="0" borderId="87" applyAlignment="1" pivotButton="0" quotePrefix="0" xfId="0">
      <alignment horizontal="left"/>
    </xf>
    <xf numFmtId="170" fontId="2" fillId="2" borderId="89" applyAlignment="1" pivotButton="0" quotePrefix="0" xfId="0">
      <alignment horizontal="center"/>
    </xf>
    <xf numFmtId="170" fontId="2" fillId="0" borderId="43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164" fontId="1" fillId="0" borderId="8" applyAlignment="1" pivotButton="0" quotePrefix="0" xfId="0">
      <alignment horizontal="right"/>
    </xf>
    <xf numFmtId="0" fontId="1" fillId="0" borderId="84" applyAlignment="1" pivotButton="0" quotePrefix="0" xfId="0">
      <alignment wrapText="1"/>
    </xf>
    <xf numFmtId="0" fontId="2" fillId="3" borderId="9" applyAlignment="1" pivotButton="0" quotePrefix="0" xfId="0">
      <alignment horizontal="center"/>
    </xf>
    <xf numFmtId="0" fontId="1" fillId="0" borderId="90" applyAlignment="1" pivotButton="0" quotePrefix="0" xfId="0">
      <alignment horizontal="left"/>
    </xf>
    <xf numFmtId="0" fontId="1" fillId="0" borderId="8" applyAlignment="1" pivotButton="0" quotePrefix="0" xfId="0">
      <alignment horizontal="left"/>
    </xf>
    <xf numFmtId="167" fontId="2" fillId="2" borderId="8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0" fontId="1" fillId="0" borderId="4" pivotButton="0" quotePrefix="0" xfId="0"/>
    <xf numFmtId="2" fontId="2" fillId="2" borderId="59" applyAlignment="1" pivotButton="0" quotePrefix="0" xfId="0">
      <alignment horizontal="center" vertical="center"/>
    </xf>
    <xf numFmtId="164" fontId="12" fillId="0" borderId="47" applyAlignment="1" pivotButton="0" quotePrefix="0" xfId="0">
      <alignment horizontal="center"/>
    </xf>
    <xf numFmtId="0" fontId="1" fillId="0" borderId="90" applyAlignment="1" pivotButton="0" quotePrefix="0" xfId="0">
      <alignment horizontal="left" wrapText="1"/>
    </xf>
    <xf numFmtId="0" fontId="1" fillId="0" borderId="8" applyAlignment="1" pivotButton="0" quotePrefix="0" xfId="0">
      <alignment horizontal="left" wrapText="1"/>
    </xf>
    <xf numFmtId="9" fontId="2" fillId="2" borderId="8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167" fontId="1" fillId="0" borderId="8" applyAlignment="1" pivotButton="0" quotePrefix="0" xfId="0">
      <alignment horizontal="center" wrapText="1"/>
    </xf>
    <xf numFmtId="3" fontId="1" fillId="0" borderId="8" applyAlignment="1" pivotButton="0" quotePrefix="0" xfId="0">
      <alignment horizontal="center"/>
    </xf>
    <xf numFmtId="3" fontId="1" fillId="0" borderId="8" applyAlignment="1" pivotButton="0" quotePrefix="0" xfId="0">
      <alignment horizontal="right"/>
    </xf>
    <xf numFmtId="0" fontId="1" fillId="0" borderId="9" applyAlignment="1" pivotButton="0" quotePrefix="0" xfId="0">
      <alignment vertical="center"/>
    </xf>
    <xf numFmtId="0" fontId="1" fillId="0" borderId="92" applyAlignment="1" pivotButton="0" quotePrefix="0" xfId="0">
      <alignment horizontal="left"/>
    </xf>
    <xf numFmtId="0" fontId="1" fillId="0" borderId="93" applyAlignment="1" pivotButton="0" quotePrefix="0" xfId="0">
      <alignment horizontal="left"/>
    </xf>
    <xf numFmtId="167" fontId="2" fillId="0" borderId="94" applyAlignment="1" pivotButton="0" quotePrefix="0" xfId="0">
      <alignment horizontal="center"/>
    </xf>
    <xf numFmtId="0" fontId="1" fillId="0" borderId="95" pivotButton="0" quotePrefix="0" xfId="0"/>
    <xf numFmtId="0" fontId="1" fillId="0" borderId="96" pivotButton="0" quotePrefix="0" xfId="0"/>
    <xf numFmtId="3" fontId="2" fillId="0" borderId="96" applyAlignment="1" pivotButton="0" quotePrefix="0" xfId="0">
      <alignment horizontal="right"/>
    </xf>
    <xf numFmtId="3" fontId="2" fillId="0" borderId="96" pivotButton="0" quotePrefix="0" xfId="0"/>
    <xf numFmtId="2" fontId="2" fillId="2" borderId="97" applyAlignment="1" pivotButton="0" quotePrefix="0" xfId="0">
      <alignment vertical="center" wrapText="1"/>
    </xf>
    <xf numFmtId="1" fontId="2" fillId="2" borderId="4" applyAlignment="1" pivotButton="0" quotePrefix="0" xfId="0">
      <alignment horizontal="center"/>
    </xf>
    <xf numFmtId="164" fontId="12" fillId="7" borderId="8" pivotButton="0" quotePrefix="0" xfId="0"/>
    <xf numFmtId="167" fontId="2" fillId="2" borderId="85" applyAlignment="1" pivotButton="0" quotePrefix="0" xfId="0">
      <alignment horizontal="center"/>
    </xf>
    <xf numFmtId="0" fontId="10" fillId="0" borderId="23" applyAlignment="1" pivotButton="0" quotePrefix="0" xfId="0">
      <alignment horizontal="left"/>
    </xf>
    <xf numFmtId="0" fontId="10" fillId="0" borderId="24" applyAlignment="1" pivotButton="0" quotePrefix="0" xfId="0">
      <alignment horizontal="left"/>
    </xf>
    <xf numFmtId="0" fontId="10" fillId="0" borderId="67" applyAlignment="1" pivotButton="0" quotePrefix="0" xfId="0">
      <alignment horizontal="left"/>
    </xf>
    <xf numFmtId="167" fontId="2" fillId="0" borderId="98" applyAlignment="1" pivotButton="0" quotePrefix="0" xfId="0">
      <alignment horizontal="right"/>
    </xf>
    <xf numFmtId="3" fontId="2" fillId="0" borderId="24" pivotButton="0" quotePrefix="0" xfId="0"/>
    <xf numFmtId="174" fontId="1" fillId="0" borderId="0" pivotButton="0" quotePrefix="0" xfId="0"/>
    <xf numFmtId="0" fontId="1" fillId="0" borderId="99" applyAlignment="1" pivotButton="0" quotePrefix="0" xfId="0">
      <alignment wrapText="1"/>
    </xf>
    <xf numFmtId="2" fontId="2" fillId="2" borderId="85" applyAlignment="1" pivotButton="0" quotePrefix="0" xfId="0">
      <alignment vertical="center" wrapText="1"/>
    </xf>
    <xf numFmtId="0" fontId="2" fillId="3" borderId="100" applyAlignment="1" pivotButton="0" quotePrefix="0" xfId="0">
      <alignment horizontal="center"/>
    </xf>
    <xf numFmtId="1" fontId="2" fillId="2" borderId="9" applyAlignment="1" pivotButton="0" quotePrefix="0" xfId="0">
      <alignment horizontal="center"/>
    </xf>
    <xf numFmtId="0" fontId="17" fillId="0" borderId="62" applyAlignment="1" pivotButton="0" quotePrefix="0" xfId="0">
      <alignment horizontal="left"/>
    </xf>
    <xf numFmtId="0" fontId="18" fillId="0" borderId="38" applyAlignment="1" pivotButton="0" quotePrefix="0" xfId="0">
      <alignment horizontal="left"/>
    </xf>
    <xf numFmtId="0" fontId="2" fillId="0" borderId="1" applyAlignment="1" pivotButton="0" quotePrefix="0" xfId="0">
      <alignment horizontal="center" wrapText="1"/>
    </xf>
    <xf numFmtId="3" fontId="1" fillId="3" borderId="8" applyAlignment="1" pivotButton="0" quotePrefix="0" xfId="0">
      <alignment horizontal="right"/>
    </xf>
    <xf numFmtId="0" fontId="1" fillId="3" borderId="8" applyAlignment="1" pivotButton="0" quotePrefix="0" xfId="0">
      <alignment horizontal="center"/>
    </xf>
    <xf numFmtId="9" fontId="1" fillId="3" borderId="3" pivotButton="0" quotePrefix="0" xfId="0"/>
    <xf numFmtId="167" fontId="2" fillId="2" borderId="59" applyAlignment="1" pivotButton="0" quotePrefix="0" xfId="0">
      <alignment horizontal="center" vertical="center"/>
    </xf>
    <xf numFmtId="0" fontId="16" fillId="0" borderId="0" pivotButton="0" quotePrefix="0" xfId="0"/>
    <xf numFmtId="3" fontId="2" fillId="0" borderId="8" applyAlignment="1" pivotButton="0" quotePrefix="0" xfId="0">
      <alignment horizontal="right"/>
    </xf>
    <xf numFmtId="167" fontId="1" fillId="0" borderId="1" applyAlignment="1" pivotButton="0" quotePrefix="0" xfId="0">
      <alignment horizontal="center"/>
    </xf>
    <xf numFmtId="0" fontId="1" fillId="0" borderId="84" pivotButton="0" quotePrefix="0" xfId="0"/>
    <xf numFmtId="0" fontId="2" fillId="3" borderId="101" applyAlignment="1" pivotButton="0" quotePrefix="0" xfId="0">
      <alignment horizontal="center"/>
    </xf>
    <xf numFmtId="167" fontId="1" fillId="2" borderId="8" applyAlignment="1" pivotButton="0" quotePrefix="0" xfId="0">
      <alignment horizontal="center" wrapText="1"/>
    </xf>
    <xf numFmtId="3" fontId="1" fillId="2" borderId="8" pivotButton="0" quotePrefix="0" xfId="0"/>
    <xf numFmtId="3" fontId="1" fillId="2" borderId="8" applyAlignment="1" pivotButton="0" quotePrefix="0" xfId="0">
      <alignment horizontal="right"/>
    </xf>
    <xf numFmtId="9" fontId="1" fillId="0" borderId="8" pivotButton="0" quotePrefix="0" xfId="0"/>
    <xf numFmtId="167" fontId="1" fillId="0" borderId="8" applyAlignment="1" pivotButton="0" quotePrefix="0" xfId="0">
      <alignment wrapText="1"/>
    </xf>
    <xf numFmtId="3" fontId="1" fillId="0" borderId="8" pivotButton="0" quotePrefix="0" xfId="0"/>
    <xf numFmtId="0" fontId="1" fillId="0" borderId="84" applyAlignment="1" pivotButton="0" quotePrefix="0" xfId="0">
      <alignment horizontal="left"/>
    </xf>
    <xf numFmtId="0" fontId="2" fillId="3" borderId="85" applyAlignment="1" pivotButton="0" quotePrefix="0" xfId="0">
      <alignment horizontal="center"/>
    </xf>
    <xf numFmtId="0" fontId="2" fillId="3" borderId="8" pivotButton="0" quotePrefix="0" xfId="0"/>
    <xf numFmtId="167" fontId="10" fillId="3" borderId="20" applyAlignment="1" pivotButton="0" quotePrefix="0" xfId="0">
      <alignment horizontal="center"/>
    </xf>
    <xf numFmtId="2" fontId="1" fillId="0" borderId="8" applyAlignment="1" pivotButton="0" quotePrefix="0" xfId="0">
      <alignment horizontal="center" wrapText="1"/>
    </xf>
    <xf numFmtId="2" fontId="16" fillId="2" borderId="8" applyAlignment="1" pivotButton="0" quotePrefix="0" xfId="0">
      <alignment horizontal="right" wrapText="1"/>
    </xf>
    <xf numFmtId="0" fontId="1" fillId="0" borderId="38" applyAlignment="1" pivotButton="0" quotePrefix="0" xfId="0">
      <alignment horizontal="center" wrapText="1"/>
    </xf>
    <xf numFmtId="0" fontId="1" fillId="3" borderId="3" applyAlignment="1" pivotButton="0" quotePrefix="0" xfId="0">
      <alignment horizontal="left"/>
    </xf>
    <xf numFmtId="2" fontId="1" fillId="3" borderId="3" applyAlignment="1" pivotButton="0" quotePrefix="0" xfId="0">
      <alignment horizontal="center" wrapText="1"/>
    </xf>
    <xf numFmtId="0" fontId="1" fillId="3" borderId="3" pivotButton="0" quotePrefix="0" xfId="0"/>
    <xf numFmtId="2" fontId="1" fillId="3" borderId="12" applyAlignment="1" pivotButton="0" quotePrefix="0" xfId="0">
      <alignment horizontal="right" wrapText="1"/>
    </xf>
    <xf numFmtId="170" fontId="2" fillId="5" borderId="66" applyAlignment="1" pivotButton="0" quotePrefix="0" xfId="0">
      <alignment horizontal="center"/>
    </xf>
    <xf numFmtId="170" fontId="2" fillId="5" borderId="102" applyAlignment="1" pivotButton="0" quotePrefix="0" xfId="0">
      <alignment horizontal="center"/>
    </xf>
    <xf numFmtId="0" fontId="1" fillId="0" borderId="8" applyAlignment="1" pivotButton="0" quotePrefix="0" xfId="0">
      <alignment wrapText="1"/>
    </xf>
    <xf numFmtId="0" fontId="2" fillId="3" borderId="8" applyAlignment="1" pivotButton="0" quotePrefix="0" xfId="0">
      <alignment horizontal="right"/>
    </xf>
    <xf numFmtId="2" fontId="2" fillId="2" borderId="8" applyAlignment="1" pivotButton="0" quotePrefix="0" xfId="0">
      <alignment horizontal="center"/>
    </xf>
    <xf numFmtId="4" fontId="2" fillId="3" borderId="8" applyAlignment="1" pivotButton="0" quotePrefix="0" xfId="0">
      <alignment horizontal="right"/>
    </xf>
    <xf numFmtId="176" fontId="1" fillId="0" borderId="8" pivotButton="0" quotePrefix="0" xfId="0"/>
    <xf numFmtId="0" fontId="1" fillId="0" borderId="0" applyAlignment="1" pivotButton="0" quotePrefix="0" xfId="0">
      <alignment wrapText="1"/>
    </xf>
    <xf numFmtId="0" fontId="2" fillId="3" borderId="66" applyAlignment="1" pivotButton="0" quotePrefix="0" xfId="0">
      <alignment horizontal="right"/>
    </xf>
    <xf numFmtId="2" fontId="2" fillId="3" borderId="8" applyAlignment="1" pivotButton="0" quotePrefix="0" xfId="0">
      <alignment horizontal="center"/>
    </xf>
    <xf numFmtId="0" fontId="2" fillId="3" borderId="66" pivotButton="0" quotePrefix="0" xfId="0"/>
    <xf numFmtId="0" fontId="2" fillId="3" borderId="26" pivotButton="0" quotePrefix="0" xfId="0"/>
    <xf numFmtId="0" fontId="2" fillId="3" borderId="27" pivotButton="0" quotePrefix="0" xfId="0"/>
    <xf numFmtId="0" fontId="2" fillId="3" borderId="97" applyAlignment="1" pivotButton="0" quotePrefix="0" xfId="0">
      <alignment horizontal="center"/>
    </xf>
    <xf numFmtId="0" fontId="2" fillId="3" borderId="103" applyAlignment="1" pivotButton="0" quotePrefix="0" xfId="0">
      <alignment horizontal="center"/>
    </xf>
    <xf numFmtId="0" fontId="1" fillId="0" borderId="55" applyAlignment="1" pivotButton="0" quotePrefix="0" xfId="0">
      <alignment horizontal="left" wrapText="1"/>
    </xf>
    <xf numFmtId="0" fontId="1" fillId="0" borderId="43" pivotButton="0" quotePrefix="0" xfId="0"/>
    <xf numFmtId="0" fontId="1" fillId="0" borderId="45" pivotButton="0" quotePrefix="0" xfId="0"/>
    <xf numFmtId="175" fontId="1" fillId="0" borderId="46" applyAlignment="1" pivotButton="0" quotePrefix="0" xfId="0">
      <alignment horizontal="right"/>
    </xf>
    <xf numFmtId="0" fontId="1" fillId="0" borderId="2" pivotButton="0" quotePrefix="0" xfId="0"/>
    <xf numFmtId="0" fontId="1" fillId="3" borderId="26" pivotButton="0" quotePrefix="0" xfId="0"/>
    <xf numFmtId="0" fontId="1" fillId="3" borderId="27" applyAlignment="1" pivotButton="0" quotePrefix="0" xfId="0">
      <alignment horizontal="right"/>
    </xf>
    <xf numFmtId="164" fontId="7" fillId="7" borderId="8" pivotButton="0" quotePrefix="0" xfId="0"/>
    <xf numFmtId="0" fontId="1" fillId="0" borderId="29" applyAlignment="1" pivotButton="0" quotePrefix="0" xfId="0">
      <alignment horizontal="right"/>
    </xf>
    <xf numFmtId="1" fontId="2" fillId="0" borderId="30" applyAlignment="1" pivotButton="0" quotePrefix="0" xfId="0">
      <alignment horizontal="left"/>
    </xf>
    <xf numFmtId="0" fontId="1" fillId="0" borderId="30" pivotButton="0" quotePrefix="0" xfId="0"/>
    <xf numFmtId="0" fontId="1" fillId="0" borderId="30" applyAlignment="1" pivotButton="0" quotePrefix="0" xfId="0">
      <alignment horizontal="center"/>
    </xf>
    <xf numFmtId="175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right"/>
    </xf>
    <xf numFmtId="0" fontId="2" fillId="3" borderId="104" applyAlignment="1" pivotButton="0" quotePrefix="0" xfId="0">
      <alignment horizontal="center"/>
    </xf>
    <xf numFmtId="0" fontId="2" fillId="0" borderId="38" pivotButton="0" quotePrefix="0" xfId="0"/>
    <xf numFmtId="0" fontId="2" fillId="0" borderId="45" applyAlignment="1" pivotButton="0" quotePrefix="0" xfId="0">
      <alignment horizontal="center"/>
    </xf>
    <xf numFmtId="1" fontId="2" fillId="0" borderId="0" pivotButton="0" quotePrefix="0" xfId="0"/>
    <xf numFmtId="0" fontId="1" fillId="0" borderId="14" pivotButton="0" quotePrefix="0" xfId="0"/>
    <xf numFmtId="0" fontId="1" fillId="0" borderId="45" applyAlignment="1" pivotButton="0" quotePrefix="0" xfId="0">
      <alignment horizontal="center"/>
    </xf>
    <xf numFmtId="167" fontId="1" fillId="2" borderId="9" applyAlignment="1" pivotButton="0" quotePrefix="0" xfId="0">
      <alignment horizontal="center"/>
    </xf>
    <xf numFmtId="164" fontId="14" fillId="7" borderId="48" applyAlignment="1" pivotButton="0" quotePrefix="0" xfId="0">
      <alignment horizontal="center"/>
    </xf>
    <xf numFmtId="2" fontId="1" fillId="9" borderId="8" pivotButton="0" quotePrefix="0" xfId="0"/>
    <xf numFmtId="164" fontId="1" fillId="2" borderId="8" applyAlignment="1" pivotButton="0" quotePrefix="0" xfId="0">
      <alignment horizontal="right"/>
    </xf>
    <xf numFmtId="1" fontId="1" fillId="0" borderId="0" applyAlignment="1" pivotButton="0" quotePrefix="0" xfId="0">
      <alignment horizontal="left"/>
    </xf>
    <xf numFmtId="2" fontId="2" fillId="0" borderId="8" applyAlignment="1" pivotButton="0" quotePrefix="0" xfId="0">
      <alignment horizontal="center"/>
    </xf>
    <xf numFmtId="164" fontId="14" fillId="7" borderId="47" applyAlignment="1" pivotButton="0" quotePrefix="0" xfId="0">
      <alignment horizontal="center"/>
    </xf>
    <xf numFmtId="3" fontId="2" fillId="2" borderId="8" applyAlignment="1" pivotButton="0" quotePrefix="0" xfId="0">
      <alignment horizontal="center"/>
    </xf>
    <xf numFmtId="3" fontId="2" fillId="0" borderId="8" applyAlignment="1" pivotButton="0" quotePrefix="0" xfId="0">
      <alignment horizontal="center"/>
    </xf>
    <xf numFmtId="2" fontId="2" fillId="2" borderId="55" applyAlignment="1" pivotButton="0" quotePrefix="0" xfId="0">
      <alignment horizontal="center"/>
    </xf>
    <xf numFmtId="2" fontId="1" fillId="0" borderId="8" pivotButton="0" quotePrefix="0" xfId="0"/>
    <xf numFmtId="9" fontId="2" fillId="0" borderId="8" applyAlignment="1" pivotButton="0" quotePrefix="0" xfId="0">
      <alignment horizontal="center"/>
    </xf>
    <xf numFmtId="0" fontId="2" fillId="3" borderId="90" pivotButton="0" quotePrefix="0" xfId="0"/>
    <xf numFmtId="2" fontId="10" fillId="3" borderId="8" applyAlignment="1" pivotButton="0" quotePrefix="0" xfId="0">
      <alignment horizontal="center"/>
    </xf>
    <xf numFmtId="175" fontId="10" fillId="3" borderId="10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" fontId="2" fillId="2" borderId="8" applyAlignment="1" pivotButton="0" quotePrefix="0" xfId="0">
      <alignment horizontal="center"/>
    </xf>
    <xf numFmtId="1" fontId="2" fillId="0" borderId="8" applyAlignment="1" pivotButton="0" quotePrefix="0" xfId="0">
      <alignment horizontal="center"/>
    </xf>
    <xf numFmtId="2" fontId="10" fillId="3" borderId="89" applyAlignment="1" pivotButton="0" quotePrefix="0" xfId="0">
      <alignment horizontal="center"/>
    </xf>
    <xf numFmtId="0" fontId="2" fillId="3" borderId="79" pivotButton="0" quotePrefix="0" xfId="0"/>
    <xf numFmtId="164" fontId="13" fillId="3" borderId="8" applyAlignment="1" pivotButton="0" quotePrefix="0" xfId="0">
      <alignment horizontal="right"/>
    </xf>
    <xf numFmtId="3" fontId="2" fillId="0" borderId="0" pivotButton="0" quotePrefix="0" xfId="0"/>
    <xf numFmtId="0" fontId="13" fillId="5" borderId="79" applyAlignment="1" pivotButton="0" quotePrefix="0" xfId="0">
      <alignment horizontal="center"/>
    </xf>
    <xf numFmtId="175" fontId="13" fillId="5" borderId="26" applyAlignment="1" pivotButton="0" quotePrefix="0" xfId="0">
      <alignment horizontal="center"/>
    </xf>
    <xf numFmtId="0" fontId="13" fillId="5" borderId="26" applyAlignment="1" pivotButton="0" quotePrefix="0" xfId="0">
      <alignment horizontal="center"/>
    </xf>
    <xf numFmtId="0" fontId="2" fillId="3" borderId="105" pivotButton="0" quotePrefix="0" xfId="0"/>
    <xf numFmtId="0" fontId="2" fillId="3" borderId="28" pivotButton="0" quotePrefix="0" xfId="0"/>
    <xf numFmtId="164" fontId="13" fillId="3" borderId="28" applyAlignment="1" pivotButton="0" quotePrefix="0" xfId="0">
      <alignment horizontal="right"/>
    </xf>
    <xf numFmtId="0" fontId="2" fillId="0" borderId="0" pivotButton="0" quotePrefix="0" xfId="0"/>
    <xf numFmtId="168" fontId="2" fillId="2" borderId="8" applyAlignment="1" pivotButton="0" quotePrefix="0" xfId="0">
      <alignment vertical="center" wrapText="1"/>
    </xf>
    <xf numFmtId="164" fontId="2" fillId="0" borderId="8" applyAlignment="1" pivotButton="0" quotePrefix="0" xfId="0">
      <alignment horizontal="center" wrapText="1"/>
    </xf>
    <xf numFmtId="0" fontId="1" fillId="0" borderId="81" applyAlignment="1" pivotButton="0" quotePrefix="0" xfId="0">
      <alignment wrapText="1"/>
    </xf>
    <xf numFmtId="0" fontId="2" fillId="2" borderId="9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1" fillId="0" borderId="13" applyAlignment="1" pivotButton="0" quotePrefix="0" xfId="0">
      <alignment wrapText="1"/>
    </xf>
    <xf numFmtId="9" fontId="2" fillId="2" borderId="85" applyAlignment="1" pivotButton="0" quotePrefix="0" xfId="0">
      <alignment horizontal="center"/>
    </xf>
    <xf numFmtId="1" fontId="2" fillId="2" borderId="85" applyAlignment="1" pivotButton="0" quotePrefix="0" xfId="0">
      <alignment horizontal="center"/>
    </xf>
    <xf numFmtId="167" fontId="2" fillId="2" borderId="85" applyAlignment="1" pivotButton="0" quotePrefix="0" xfId="0">
      <alignment horizontal="center" wrapText="1"/>
    </xf>
    <xf numFmtId="3" fontId="13" fillId="3" borderId="26" applyAlignment="1" pivotButton="0" quotePrefix="0" xfId="0">
      <alignment horizontal="right"/>
    </xf>
    <xf numFmtId="174" fontId="1" fillId="0" borderId="8" pivotButton="0" quotePrefix="0" xfId="0"/>
    <xf numFmtId="164" fontId="1" fillId="0" borderId="0" applyAlignment="1" pivotButton="0" quotePrefix="0" xfId="0">
      <alignment horizontal="right"/>
    </xf>
    <xf numFmtId="0" fontId="13" fillId="5" borderId="102" applyAlignment="1" pivotButton="0" quotePrefix="0" xfId="0">
      <alignment horizontal="center"/>
    </xf>
    <xf numFmtId="0" fontId="2" fillId="3" borderId="106" pivotButton="0" quotePrefix="0" xfId="0"/>
    <xf numFmtId="0" fontId="2" fillId="3" borderId="100" pivotButton="0" quotePrefix="0" xfId="0"/>
    <xf numFmtId="168" fontId="13" fillId="3" borderId="100" applyAlignment="1" pivotButton="0" quotePrefix="0" xfId="0">
      <alignment horizontal="right"/>
    </xf>
    <xf numFmtId="167" fontId="2" fillId="0" borderId="8" applyAlignment="1" pivotButton="0" quotePrefix="0" xfId="0">
      <alignment horizontal="center"/>
    </xf>
    <xf numFmtId="0" fontId="19" fillId="0" borderId="90" applyAlignment="1" pivotButton="0" quotePrefix="0" xfId="0">
      <alignment vertical="center"/>
    </xf>
    <xf numFmtId="1" fontId="2" fillId="2" borderId="59" applyAlignment="1" pivotButton="0" quotePrefix="0" xfId="0">
      <alignment horizontal="center"/>
    </xf>
    <xf numFmtId="170" fontId="13" fillId="0" borderId="2" applyAlignment="1" pivotButton="0" quotePrefix="0" xfId="0">
      <alignment horizontal="right"/>
    </xf>
    <xf numFmtId="9" fontId="2" fillId="2" borderId="59" applyAlignment="1" pivotButton="0" quotePrefix="0" xfId="0">
      <alignment horizontal="center"/>
    </xf>
    <xf numFmtId="0" fontId="1" fillId="0" borderId="90" pivotButton="0" quotePrefix="0" xfId="0"/>
    <xf numFmtId="167" fontId="2" fillId="2" borderId="66" applyAlignment="1" pivotButton="0" quotePrefix="0" xfId="0">
      <alignment horizontal="center"/>
    </xf>
    <xf numFmtId="167" fontId="2" fillId="0" borderId="2" applyAlignment="1" pivotButton="0" quotePrefix="0" xfId="0">
      <alignment horizontal="center"/>
    </xf>
    <xf numFmtId="0" fontId="1" fillId="0" borderId="90" applyAlignment="1" pivotButton="0" quotePrefix="0" xfId="0">
      <alignment wrapText="1"/>
    </xf>
    <xf numFmtId="171" fontId="2" fillId="2" borderId="59" applyAlignment="1" pivotButton="0" quotePrefix="0" xfId="0">
      <alignment horizontal="center"/>
    </xf>
    <xf numFmtId="167" fontId="1" fillId="2" borderId="55" applyAlignment="1" pivotButton="0" quotePrefix="0" xfId="0">
      <alignment horizontal="center"/>
    </xf>
    <xf numFmtId="167" fontId="2" fillId="10" borderId="8" applyAlignment="1" pivotButton="0" quotePrefix="0" xfId="0">
      <alignment horizontal="center"/>
    </xf>
    <xf numFmtId="0" fontId="2" fillId="0" borderId="8" applyAlignment="1" pivotButton="0" quotePrefix="0" xfId="0">
      <alignment horizontal="left"/>
    </xf>
    <xf numFmtId="0" fontId="2" fillId="0" borderId="38" applyAlignment="1" pivotButton="0" quotePrefix="0" xfId="0">
      <alignment horizontal="left"/>
    </xf>
    <xf numFmtId="2" fontId="2" fillId="2" borderId="59" applyAlignment="1" pivotButton="0" quotePrefix="0" xfId="0">
      <alignment horizontal="center"/>
    </xf>
    <xf numFmtId="0" fontId="10" fillId="3" borderId="82" pivotButton="0" quotePrefix="0" xfId="0"/>
    <xf numFmtId="0" fontId="2" fillId="3" borderId="107" applyAlignment="1" pivotButton="0" quotePrefix="0" xfId="0">
      <alignment horizontal="center"/>
    </xf>
    <xf numFmtId="167" fontId="2" fillId="3" borderId="107" applyAlignment="1" pivotButton="0" quotePrefix="0" xfId="0">
      <alignment horizontal="center"/>
    </xf>
    <xf numFmtId="0" fontId="1" fillId="0" borderId="108" pivotButton="0" quotePrefix="0" xfId="0"/>
    <xf numFmtId="167" fontId="2" fillId="3" borderId="8" applyAlignment="1" pivotButton="0" quotePrefix="0" xfId="0">
      <alignment horizontal="center"/>
    </xf>
    <xf numFmtId="167" fontId="2" fillId="0" borderId="29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right"/>
    </xf>
    <xf numFmtId="0" fontId="1" fillId="0" borderId="109" applyAlignment="1" pivotButton="0" quotePrefix="0" xfId="0">
      <alignment wrapText="1"/>
    </xf>
    <xf numFmtId="167" fontId="2" fillId="0" borderId="9" applyAlignment="1" pivotButton="0" quotePrefix="0" xfId="0">
      <alignment horizontal="center"/>
    </xf>
    <xf numFmtId="167" fontId="2" fillId="0" borderId="55" applyAlignment="1" pivotButton="0" quotePrefix="0" xfId="0">
      <alignment horizontal="center"/>
    </xf>
    <xf numFmtId="0" fontId="2" fillId="3" borderId="89" applyAlignment="1" pivotButton="0" quotePrefix="0" xfId="0">
      <alignment horizontal="center"/>
    </xf>
    <xf numFmtId="0" fontId="2" fillId="0" borderId="4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174" fontId="2" fillId="0" borderId="6" applyAlignment="1" pivotButton="0" quotePrefix="0" xfId="0">
      <alignment horizontal="center"/>
    </xf>
    <xf numFmtId="0" fontId="1" fillId="0" borderId="110" pivotButton="0" quotePrefix="0" xfId="0"/>
    <xf numFmtId="0" fontId="1" fillId="0" borderId="111" applyAlignment="1" pivotButton="0" quotePrefix="0" xfId="0">
      <alignment horizontal="center"/>
    </xf>
    <xf numFmtId="0" fontId="2" fillId="0" borderId="111" pivotButton="0" quotePrefix="0" xfId="0"/>
    <xf numFmtId="0" fontId="2" fillId="0" borderId="43" applyAlignment="1" pivotButton="0" quotePrefix="0" xfId="0">
      <alignment horizontal="left"/>
    </xf>
    <xf numFmtId="0" fontId="20" fillId="0" borderId="45" applyAlignment="1" pivotButton="0" quotePrefix="0" xfId="0">
      <alignment horizontal="left"/>
    </xf>
    <xf numFmtId="164" fontId="2" fillId="0" borderId="45" applyAlignment="1" pivotButton="0" quotePrefix="0" xfId="0">
      <alignment horizontal="right"/>
    </xf>
    <xf numFmtId="0" fontId="1" fillId="0" borderId="46" pivotButton="0" quotePrefix="0" xfId="0"/>
    <xf numFmtId="0" fontId="2" fillId="0" borderId="45" applyAlignment="1" pivotButton="0" quotePrefix="0" xfId="0">
      <alignment horizontal="left"/>
    </xf>
    <xf numFmtId="3" fontId="2" fillId="0" borderId="45" applyAlignment="1" pivotButton="0" quotePrefix="0" xfId="0">
      <alignment horizontal="right"/>
    </xf>
    <xf numFmtId="167" fontId="10" fillId="3" borderId="8" applyAlignment="1" pivotButton="0" quotePrefix="0" xfId="0">
      <alignment horizontal="center"/>
    </xf>
    <xf numFmtId="0" fontId="10" fillId="3" borderId="8" applyAlignment="1" pivotButton="0" quotePrefix="0" xfId="0">
      <alignment horizontal="center"/>
    </xf>
    <xf numFmtId="169" fontId="2" fillId="2" borderId="8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175" fontId="1" fillId="0" borderId="96" pivotButton="0" quotePrefix="0" xfId="0"/>
    <xf numFmtId="0" fontId="1" fillId="3" borderId="112" pivotButton="0" quotePrefix="0" xfId="0"/>
    <xf numFmtId="0" fontId="1" fillId="5" borderId="8" pivotButton="0" quotePrefix="0" xfId="0"/>
    <xf numFmtId="0" fontId="1" fillId="5" borderId="20" applyAlignment="1" pivotButton="0" quotePrefix="0" xfId="0">
      <alignment horizontal="center"/>
    </xf>
    <xf numFmtId="167" fontId="2" fillId="2" borderId="28" applyAlignment="1" pivotButton="0" quotePrefix="0" xfId="0">
      <alignment horizontal="center"/>
    </xf>
    <xf numFmtId="0" fontId="10" fillId="0" borderId="29" applyAlignment="1" pivotButton="0" quotePrefix="0" xfId="0">
      <alignment vertical="center" textRotation="90"/>
    </xf>
    <xf numFmtId="0" fontId="10" fillId="0" borderId="30" pivotButton="0" quotePrefix="0" xfId="0"/>
    <xf numFmtId="164" fontId="1" fillId="0" borderId="30" pivotButton="0" quotePrefix="0" xfId="0"/>
    <xf numFmtId="0" fontId="2" fillId="0" borderId="6" applyAlignment="1" pivotButton="0" quotePrefix="0" xfId="0">
      <alignment horizontal="center"/>
    </xf>
    <xf numFmtId="175" fontId="6" fillId="2" borderId="8" applyAlignment="1" pivotButton="0" quotePrefix="0" xfId="0">
      <alignment horizontal="center"/>
    </xf>
    <xf numFmtId="0" fontId="2" fillId="0" borderId="1" pivotButton="0" quotePrefix="0" xfId="0"/>
    <xf numFmtId="0" fontId="2" fillId="0" borderId="16" applyAlignment="1" pivotButton="0" quotePrefix="0" xfId="0">
      <alignment horizontal="right"/>
    </xf>
    <xf numFmtId="0" fontId="13" fillId="11" borderId="8" applyAlignment="1" pivotButton="0" quotePrefix="0" xfId="0">
      <alignment horizontal="left" vertical="center"/>
    </xf>
    <xf numFmtId="0" fontId="13" fillId="11" borderId="8" applyAlignment="1" pivotButton="0" quotePrefix="0" xfId="0">
      <alignment horizontal="center" vertical="center"/>
    </xf>
    <xf numFmtId="0" fontId="10" fillId="11" borderId="8" applyAlignment="1" pivotButton="0" quotePrefix="0" xfId="0">
      <alignment horizontal="center" vertical="center" wrapText="1"/>
    </xf>
    <xf numFmtId="0" fontId="1" fillId="0" borderId="94" pivotButton="0" quotePrefix="0" xfId="0"/>
    <xf numFmtId="0" fontId="1" fillId="0" borderId="113" applyAlignment="1" pivotButton="0" quotePrefix="0" xfId="0">
      <alignment horizontal="right"/>
    </xf>
    <xf numFmtId="0" fontId="10" fillId="0" borderId="38" applyAlignment="1" pivotButton="0" quotePrefix="0" xfId="0">
      <alignment textRotation="90"/>
    </xf>
    <xf numFmtId="164" fontId="2" fillId="2" borderId="115" applyAlignment="1" pivotButton="0" quotePrefix="0" xfId="0">
      <alignment horizontal="center"/>
    </xf>
    <xf numFmtId="0" fontId="2" fillId="0" borderId="87" pivotButton="0" quotePrefix="0" xfId="0"/>
    <xf numFmtId="167" fontId="13" fillId="3" borderId="28" applyAlignment="1" pivotButton="0" quotePrefix="0" xfId="0">
      <alignment horizontal="center"/>
    </xf>
    <xf numFmtId="0" fontId="2" fillId="0" borderId="38" applyAlignment="1" pivotButton="0" quotePrefix="0" xfId="0">
      <alignment wrapText="1"/>
    </xf>
    <xf numFmtId="167" fontId="2" fillId="0" borderId="14" pivotButton="0" quotePrefix="0" xfId="0"/>
    <xf numFmtId="0" fontId="7" fillId="3" borderId="8" applyAlignment="1" pivotButton="0" quotePrefix="0" xfId="0">
      <alignment horizontal="left"/>
    </xf>
    <xf numFmtId="164" fontId="7" fillId="7" borderId="8" applyAlignment="1" pivotButton="0" quotePrefix="0" xfId="0">
      <alignment horizontal="center"/>
    </xf>
    <xf numFmtId="164" fontId="3" fillId="2" borderId="3" pivotButton="0" quotePrefix="0" xfId="0"/>
    <xf numFmtId="164" fontId="2" fillId="2" borderId="117" applyAlignment="1" pivotButton="0" quotePrefix="0" xfId="0">
      <alignment horizontal="center"/>
    </xf>
    <xf numFmtId="0" fontId="1" fillId="0" borderId="118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2" fillId="0" borderId="43" pivotButton="0" quotePrefix="0" xfId="0"/>
    <xf numFmtId="0" fontId="2" fillId="0" borderId="46" pivotButton="0" quotePrefix="0" xfId="0"/>
    <xf numFmtId="167" fontId="2" fillId="0" borderId="46" pivotButton="0" quotePrefix="0" xfId="0"/>
    <xf numFmtId="0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vertical="center" textRotation="90"/>
    </xf>
    <xf numFmtId="0" fontId="2" fillId="0" borderId="14" applyAlignment="1" pivotButton="0" quotePrefix="0" xfId="0">
      <alignment horizontal="center"/>
    </xf>
    <xf numFmtId="0" fontId="1" fillId="2" borderId="84" applyAlignment="1" pivotButton="0" quotePrefix="0" xfId="0">
      <alignment wrapText="1"/>
    </xf>
    <xf numFmtId="164" fontId="2" fillId="2" borderId="120" applyAlignment="1" pivotButton="0" quotePrefix="0" xfId="0">
      <alignment horizontal="center"/>
    </xf>
    <xf numFmtId="0" fontId="1" fillId="0" borderId="46" applyAlignment="1" pivotButton="0" quotePrefix="0" xfId="0">
      <alignment horizontal="center"/>
    </xf>
    <xf numFmtId="164" fontId="2" fillId="3" borderId="8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75" fontId="7" fillId="7" borderId="8" applyAlignment="1" pivotButton="0" quotePrefix="0" xfId="0">
      <alignment horizontal="center"/>
    </xf>
    <xf numFmtId="0" fontId="7" fillId="7" borderId="8" applyAlignment="1" pivotButton="0" quotePrefix="0" xfId="0">
      <alignment horizontal="center"/>
    </xf>
    <xf numFmtId="0" fontId="7" fillId="3" borderId="8" applyAlignment="1" pivotButton="0" quotePrefix="0" xfId="0">
      <alignment horizontal="left" wrapText="1"/>
    </xf>
    <xf numFmtId="164" fontId="7" fillId="2" borderId="8" applyAlignment="1" pivotButton="0" quotePrefix="0" xfId="0">
      <alignment horizontal="center"/>
    </xf>
    <xf numFmtId="3" fontId="3" fillId="0" borderId="0" pivotButton="0" quotePrefix="0" xfId="0"/>
    <xf numFmtId="10" fontId="3" fillId="0" borderId="0" pivotButton="0" quotePrefix="0" xfId="0"/>
    <xf numFmtId="164" fontId="5" fillId="7" borderId="8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3" fillId="11" borderId="8" applyAlignment="1" pivotButton="0" quotePrefix="0" xfId="0">
      <alignment horizontal="center"/>
    </xf>
    <xf numFmtId="164" fontId="7" fillId="0" borderId="8" applyAlignment="1" pivotButton="0" quotePrefix="0" xfId="0">
      <alignment horizontal="center"/>
    </xf>
    <xf numFmtId="0" fontId="22" fillId="11" borderId="98" applyAlignment="1" pivotButton="0" quotePrefix="0" xfId="0">
      <alignment horizontal="center" vertical="center"/>
    </xf>
    <xf numFmtId="0" fontId="23" fillId="2" borderId="3" pivotButton="0" quotePrefix="0" xfId="0"/>
    <xf numFmtId="1" fontId="3" fillId="0" borderId="0" pivotButton="0" quotePrefix="0" xfId="0"/>
    <xf numFmtId="0" fontId="13" fillId="5" borderId="122" applyAlignment="1" pivotButton="0" quotePrefix="0" xfId="0">
      <alignment horizontal="center" vertical="center"/>
    </xf>
    <xf numFmtId="0" fontId="0" fillId="0" borderId="24" pivotButton="0" quotePrefix="0" xfId="0"/>
    <xf numFmtId="0" fontId="1" fillId="0" borderId="8" applyAlignment="1" pivotButton="0" quotePrefix="0" xfId="0">
      <alignment horizontal="left" wrapText="1"/>
    </xf>
    <xf numFmtId="0" fontId="0" fillId="0" borderId="26" pivotButton="0" quotePrefix="0" xfId="0"/>
    <xf numFmtId="0" fontId="0" fillId="0" borderId="27" pivotButton="0" quotePrefix="0" xfId="0"/>
    <xf numFmtId="0" fontId="9" fillId="3" borderId="8" applyAlignment="1" pivotButton="0" quotePrefix="0" xfId="0">
      <alignment horizontal="center"/>
    </xf>
    <xf numFmtId="0" fontId="1" fillId="0" borderId="8" applyAlignment="1" pivotButton="0" quotePrefix="0" xfId="0">
      <alignment wrapText="1"/>
    </xf>
    <xf numFmtId="1" fontId="2" fillId="2" borderId="4" applyAlignment="1" pivotButton="0" quotePrefix="0" xfId="0">
      <alignment horizontal="center" vertical="center"/>
    </xf>
    <xf numFmtId="0" fontId="0" fillId="0" borderId="100" pivotButton="0" quotePrefix="0" xfId="0"/>
    <xf numFmtId="0" fontId="0" fillId="0" borderId="85" pivotButton="0" quotePrefix="0" xfId="0"/>
    <xf numFmtId="0" fontId="2" fillId="0" borderId="8" applyAlignment="1" pivotButton="0" quotePrefix="0" xfId="0">
      <alignment horizontal="center" vertical="center" textRotation="90"/>
    </xf>
    <xf numFmtId="0" fontId="0" fillId="0" borderId="89" pivotButton="0" quotePrefix="0" xfId="0"/>
    <xf numFmtId="0" fontId="1" fillId="0" borderId="9" applyAlignment="1" pivotButton="0" quotePrefix="0" xfId="0">
      <alignment wrapText="1"/>
    </xf>
    <xf numFmtId="0" fontId="0" fillId="0" borderId="61" pivotButton="0" quotePrefix="0" xfId="0"/>
    <xf numFmtId="0" fontId="13" fillId="5" borderId="20" applyAlignment="1" pivotButton="0" quotePrefix="0" xfId="0">
      <alignment horizontal="center" vertical="center"/>
    </xf>
    <xf numFmtId="0" fontId="0" fillId="0" borderId="102" pivotButton="0" quotePrefix="0" xfId="0"/>
    <xf numFmtId="0" fontId="1" fillId="0" borderId="9" applyAlignment="1" pivotButton="0" quotePrefix="0" xfId="0">
      <alignment horizontal="left" wrapText="1"/>
    </xf>
    <xf numFmtId="0" fontId="1" fillId="0" borderId="86" pivotButton="0" quotePrefix="0" xfId="0"/>
    <xf numFmtId="0" fontId="0" fillId="0" borderId="77" pivotButton="0" quotePrefix="0" xfId="0"/>
    <xf numFmtId="0" fontId="0" fillId="0" borderId="119" pivotButton="0" quotePrefix="0" xfId="0"/>
    <xf numFmtId="0" fontId="1" fillId="2" borderId="8" applyAlignment="1" pivotButton="0" quotePrefix="0" xfId="0">
      <alignment wrapText="1"/>
    </xf>
    <xf numFmtId="0" fontId="1" fillId="3" borderId="4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124" pivotButton="0" quotePrefix="0" xfId="0"/>
    <xf numFmtId="0" fontId="0" fillId="0" borderId="114" pivotButton="0" quotePrefix="0" xfId="0"/>
    <xf numFmtId="0" fontId="1" fillId="0" borderId="118" applyAlignment="1" pivotButton="0" quotePrefix="0" xfId="0">
      <alignment vertical="center"/>
    </xf>
    <xf numFmtId="0" fontId="0" fillId="0" borderId="60" pivotButton="0" quotePrefix="0" xfId="0"/>
    <xf numFmtId="0" fontId="0" fillId="0" borderId="116" pivotButton="0" quotePrefix="0" xfId="0"/>
    <xf numFmtId="0" fontId="2" fillId="3" borderId="8" pivotButton="0" quotePrefix="0" xfId="0"/>
    <xf numFmtId="0" fontId="1" fillId="0" borderId="4" applyAlignment="1" pivotButton="0" quotePrefix="0" xfId="0">
      <alignment wrapText="1"/>
    </xf>
    <xf numFmtId="0" fontId="1" fillId="3" borderId="9" pivotButton="0" quotePrefix="0" xfId="0"/>
    <xf numFmtId="0" fontId="1" fillId="2" borderId="8" applyAlignment="1" pivotButton="0" quotePrefix="0" xfId="0">
      <alignment horizontal="left" wrapText="1"/>
    </xf>
    <xf numFmtId="0" fontId="1" fillId="0" borderId="47" applyAlignment="1" pivotButton="0" quotePrefix="0" xfId="0">
      <alignment horizontal="left" vertical="center" wrapText="1"/>
    </xf>
    <xf numFmtId="0" fontId="0" fillId="0" borderId="107" pivotButton="0" quotePrefix="0" xfId="0"/>
    <xf numFmtId="0" fontId="0" fillId="0" borderId="7" pivotButton="0" quotePrefix="0" xfId="0"/>
    <xf numFmtId="0" fontId="0" fillId="0" borderId="101" pivotButton="0" quotePrefix="0" xfId="0"/>
    <xf numFmtId="0" fontId="0" fillId="0" borderId="0" pivotButton="0" quotePrefix="0" xfId="0"/>
    <xf numFmtId="0" fontId="0" fillId="0" borderId="14" pivotButton="0" quotePrefix="0" xfId="0"/>
    <xf numFmtId="0" fontId="10" fillId="0" borderId="8" applyAlignment="1" pivotButton="0" quotePrefix="0" xfId="0">
      <alignment horizontal="center" vertical="center" textRotation="90"/>
    </xf>
    <xf numFmtId="0" fontId="1" fillId="0" borderId="8" applyAlignment="1" pivotButton="0" quotePrefix="0" xfId="0">
      <alignment horizontal="left" vertical="center" wrapText="1"/>
    </xf>
    <xf numFmtId="0" fontId="1" fillId="0" borderId="55" applyAlignment="1" pivotButton="0" quotePrefix="0" xfId="0">
      <alignment wrapText="1"/>
    </xf>
    <xf numFmtId="0" fontId="0" fillId="0" borderId="91" pivotButton="0" quotePrefix="0" xfId="0"/>
    <xf numFmtId="0" fontId="1" fillId="0" borderId="118" pivotButton="0" quotePrefix="0" xfId="0"/>
    <xf numFmtId="1" fontId="2" fillId="2" borderId="55" applyAlignment="1" pivotButton="0" quotePrefix="0" xfId="0">
      <alignment horizontal="center"/>
    </xf>
    <xf numFmtId="0" fontId="9" fillId="3" borderId="8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2" fontId="2" fillId="2" borderId="9" applyAlignment="1" pivotButton="0" quotePrefix="0" xfId="0">
      <alignment horizontal="center" vertical="center" wrapText="1"/>
    </xf>
    <xf numFmtId="170" fontId="2" fillId="5" borderId="20" applyAlignment="1" pivotButton="0" quotePrefix="0" xfId="0">
      <alignment horizontal="center"/>
    </xf>
    <xf numFmtId="0" fontId="1" fillId="0" borderId="8" pivotButton="0" quotePrefix="0" xfId="0"/>
    <xf numFmtId="0" fontId="2" fillId="5" borderId="20" applyAlignment="1" pivotButton="0" quotePrefix="0" xfId="0">
      <alignment horizontal="center"/>
    </xf>
    <xf numFmtId="0" fontId="1" fillId="0" borderId="123" pivotButton="0" quotePrefix="0" xfId="0"/>
    <xf numFmtId="0" fontId="0" fillId="0" borderId="121" pivotButton="0" quotePrefix="0" xfId="0"/>
    <xf numFmtId="0" fontId="20" fillId="0" borderId="8" applyAlignment="1" pivotButton="0" quotePrefix="0" xfId="0">
      <alignment horizontal="center" vertical="center" textRotation="90"/>
    </xf>
    <xf numFmtId="0" fontId="2" fillId="0" borderId="8" applyAlignment="1" pivotButton="0" quotePrefix="0" xfId="0">
      <alignment horizontal="center" vertical="center" wrapText="1"/>
    </xf>
    <xf numFmtId="0" fontId="21" fillId="0" borderId="20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/>
    </xf>
    <xf numFmtId="0" fontId="1" fillId="0" borderId="15" applyAlignment="1" pivotButton="0" quotePrefix="0" xfId="0">
      <alignment vertical="top" wrapText="1"/>
    </xf>
    <xf numFmtId="0" fontId="0" fillId="0" borderId="37" pivotButton="0" quotePrefix="0" xfId="0"/>
    <xf numFmtId="0" fontId="0" fillId="0" borderId="15" pivotButton="0" quotePrefix="0" xfId="0"/>
    <xf numFmtId="1" fontId="2" fillId="2" borderId="9" applyAlignment="1" pivotButton="0" quotePrefix="0" xfId="0">
      <alignment horizontal="center" vertical="center"/>
    </xf>
    <xf numFmtId="0" fontId="2" fillId="3" borderId="8" applyAlignment="1" pivotButton="0" quotePrefix="0" xfId="0">
      <alignment horizontal="left"/>
    </xf>
    <xf numFmtId="0" fontId="1" fillId="5" borderId="8" applyAlignment="1" pivotButton="0" quotePrefix="0" xfId="0">
      <alignment horizontal="left" vertical="top" wrapText="1"/>
    </xf>
    <xf numFmtId="9" fontId="2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5" borderId="47" applyAlignment="1" pivotButton="0" quotePrefix="0" xfId="0">
      <alignment horizontal="left" vertical="top" wrapText="1"/>
    </xf>
    <xf numFmtId="0" fontId="9" fillId="0" borderId="6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4" pivotButton="0" quotePrefix="0" xfId="0"/>
    <xf numFmtId="0" fontId="3" fillId="0" borderId="47" applyAlignment="1" pivotButton="0" quotePrefix="0" xfId="0">
      <alignment horizontal="left" wrapText="1"/>
    </xf>
    <xf numFmtId="0" fontId="2" fillId="3" borderId="9" applyAlignment="1" pivotButton="0" quotePrefix="0" xfId="0">
      <alignment horizontal="center" vertical="center" wrapText="1"/>
    </xf>
    <xf numFmtId="0" fontId="2" fillId="5" borderId="26" applyAlignment="1" pivotButton="0" quotePrefix="0" xfId="0">
      <alignment horizontal="center"/>
    </xf>
    <xf numFmtId="0" fontId="2" fillId="0" borderId="8" applyAlignment="1" pivotButton="0" quotePrefix="0" xfId="0">
      <alignment horizontal="left" vertical="center" wrapText="1"/>
    </xf>
    <xf numFmtId="0" fontId="1" fillId="0" borderId="50" applyAlignment="1" pivotButton="0" quotePrefix="0" xfId="0">
      <alignment horizontal="left" vertical="center" wrapText="1"/>
    </xf>
    <xf numFmtId="0" fontId="0" fillId="0" borderId="36" pivotButton="0" quotePrefix="0" xfId="0"/>
    <xf numFmtId="0" fontId="1" fillId="0" borderId="8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left" vertical="center" wrapText="1"/>
    </xf>
    <xf numFmtId="0" fontId="0" fillId="0" borderId="63" pivotButton="0" quotePrefix="0" xfId="0"/>
    <xf numFmtId="0" fontId="0" fillId="0" borderId="64" pivotButton="0" quotePrefix="0" xfId="0"/>
    <xf numFmtId="0" fontId="10" fillId="3" borderId="8" applyAlignment="1" pivotButton="0" quotePrefix="0" xfId="0">
      <alignment horizontal="center" vertical="center" wrapText="1"/>
    </xf>
    <xf numFmtId="167" fontId="2" fillId="2" borderId="8" applyAlignment="1" pivotButton="0" quotePrefix="0" xfId="0">
      <alignment horizontal="center"/>
    </xf>
    <xf numFmtId="0" fontId="0" fillId="0" borderId="3" pivotButton="0" quotePrefix="0" xfId="0"/>
    <xf numFmtId="0" fontId="0" fillId="0" borderId="3" applyAlignment="1" pivotButton="0" quotePrefix="0" xfId="0">
      <alignment horizontal="right"/>
    </xf>
    <xf numFmtId="9" fontId="0" fillId="12" borderId="3" pivotButton="0" quotePrefix="0" xfId="0"/>
    <xf numFmtId="9" fontId="0" fillId="12" borderId="3" applyAlignment="1" pivotButton="0" quotePrefix="0" xfId="0">
      <alignment horizontal="center"/>
    </xf>
    <xf numFmtId="0" fontId="25" fillId="0" borderId="3" pivotButton="0" quotePrefix="0" xfId="0"/>
    <xf numFmtId="9" fontId="0" fillId="0" borderId="3" pivotButton="0" quotePrefix="0" xfId="0"/>
    <xf numFmtId="9" fontId="0" fillId="0" borderId="3" applyAlignment="1" pivotButton="0" quotePrefix="0" xfId="0">
      <alignment horizontal="right"/>
    </xf>
    <xf numFmtId="2" fontId="0" fillId="0" borderId="3" pivotButton="0" quotePrefix="0" xfId="0"/>
    <xf numFmtId="175" fontId="0" fillId="0" borderId="0" pivotButton="0" quotePrefix="0" xfId="1"/>
    <xf numFmtId="14" fontId="25" fillId="0" borderId="3" pivotButton="0" quotePrefix="0" xfId="0"/>
    <xf numFmtId="0" fontId="0" fillId="0" borderId="3" applyAlignment="1" pivotButton="0" quotePrefix="0" xfId="0">
      <alignment horizontal="center"/>
    </xf>
    <xf numFmtId="175" fontId="0" fillId="0" borderId="0" pivotButton="0" quotePrefix="0" xfId="1"/>
    <xf numFmtId="166" fontId="2" fillId="2" borderId="9" applyAlignment="1" pivotButton="0" quotePrefix="0" xfId="0">
      <alignment horizontal="center" wrapText="1"/>
    </xf>
    <xf numFmtId="166" fontId="2" fillId="4" borderId="9" applyAlignment="1" pivotButton="0" quotePrefix="0" xfId="0">
      <alignment horizontal="center"/>
    </xf>
    <xf numFmtId="167" fontId="12" fillId="2" borderId="8" applyAlignment="1" pivotButton="0" quotePrefix="0" xfId="0">
      <alignment horizontal="center"/>
    </xf>
    <xf numFmtId="168" fontId="12" fillId="2" borderId="8" applyAlignment="1" pivotButton="0" quotePrefix="0" xfId="0">
      <alignment horizontal="center"/>
    </xf>
    <xf numFmtId="169" fontId="14" fillId="2" borderId="8" applyAlignment="1" pivotButton="0" quotePrefix="0" xfId="0">
      <alignment horizontal="center"/>
    </xf>
    <xf numFmtId="167" fontId="2" fillId="0" borderId="33" applyAlignment="1" pivotButton="0" quotePrefix="0" xfId="0">
      <alignment horizontal="center" vertical="center"/>
    </xf>
    <xf numFmtId="167" fontId="2" fillId="0" borderId="34" pivotButton="0" quotePrefix="0" xfId="0"/>
    <xf numFmtId="170" fontId="1" fillId="2" borderId="4" applyAlignment="1" pivotButton="0" quotePrefix="0" xfId="0">
      <alignment horizontal="center"/>
    </xf>
    <xf numFmtId="170" fontId="1" fillId="2" borderId="9" applyAlignment="1" pivotButton="0" quotePrefix="0" xfId="0">
      <alignment horizontal="center"/>
    </xf>
    <xf numFmtId="171" fontId="2" fillId="0" borderId="42" applyAlignment="1" pivotButton="0" quotePrefix="0" xfId="0">
      <alignment horizontal="center"/>
    </xf>
    <xf numFmtId="169" fontId="7" fillId="2" borderId="8" applyAlignment="1" pivotButton="0" quotePrefix="0" xfId="0">
      <alignment horizontal="left"/>
    </xf>
    <xf numFmtId="166" fontId="2" fillId="3" borderId="11" applyAlignment="1" pivotButton="0" quotePrefix="0" xfId="0">
      <alignment horizontal="center"/>
    </xf>
    <xf numFmtId="167" fontId="2" fillId="0" borderId="34" applyAlignment="1" pivotButton="0" quotePrefix="0" xfId="0">
      <alignment horizontal="center" vertical="center"/>
    </xf>
    <xf numFmtId="169" fontId="12" fillId="6" borderId="14" applyAlignment="1" pivotButton="0" quotePrefix="0" xfId="0">
      <alignment horizontal="center"/>
    </xf>
    <xf numFmtId="172" fontId="7" fillId="0" borderId="8" applyAlignment="1" pivotButton="0" quotePrefix="0" xfId="0">
      <alignment horizontal="left"/>
    </xf>
    <xf numFmtId="167" fontId="2" fillId="3" borderId="57" applyAlignment="1" pivotButton="0" quotePrefix="0" xfId="0">
      <alignment horizontal="center"/>
    </xf>
    <xf numFmtId="169" fontId="7" fillId="0" borderId="8" applyAlignment="1" pivotButton="0" quotePrefix="0" xfId="0">
      <alignment horizontal="left"/>
    </xf>
    <xf numFmtId="173" fontId="3" fillId="0" borderId="0" pivotButton="0" quotePrefix="0" xfId="0"/>
    <xf numFmtId="173" fontId="7" fillId="7" borderId="28" applyAlignment="1" pivotButton="0" quotePrefix="0" xfId="0">
      <alignment vertical="center"/>
    </xf>
    <xf numFmtId="174" fontId="1" fillId="3" borderId="8" applyAlignment="1" pivotButton="0" quotePrefix="0" xfId="0">
      <alignment horizontal="center" vertical="center" wrapText="1"/>
    </xf>
    <xf numFmtId="175" fontId="1" fillId="0" borderId="0" pivotButton="0" quotePrefix="0" xfId="0"/>
    <xf numFmtId="167" fontId="1" fillId="2" borderId="8" applyAlignment="1" pivotButton="0" quotePrefix="0" xfId="0">
      <alignment horizontal="center"/>
    </xf>
    <xf numFmtId="169" fontId="2" fillId="2" borderId="9" applyAlignment="1" pivotButton="0" quotePrefix="0" xfId="0">
      <alignment horizontal="center"/>
    </xf>
    <xf numFmtId="169" fontId="10" fillId="0" borderId="20" applyAlignment="1" pivotButton="0" quotePrefix="0" xfId="0">
      <alignment horizontal="left" vertical="center"/>
    </xf>
    <xf numFmtId="171" fontId="2" fillId="3" borderId="69" applyAlignment="1" pivotButton="0" quotePrefix="0" xfId="0">
      <alignment horizontal="center" vertical="center" wrapText="1"/>
    </xf>
    <xf numFmtId="167" fontId="2" fillId="2" borderId="4" applyAlignment="1" pivotButton="0" quotePrefix="0" xfId="0">
      <alignment horizontal="center"/>
    </xf>
    <xf numFmtId="167" fontId="2" fillId="2" borderId="9" applyAlignment="1" pivotButton="0" quotePrefix="0" xfId="0">
      <alignment horizontal="center"/>
    </xf>
    <xf numFmtId="167" fontId="2" fillId="2" borderId="55" applyAlignment="1" pivotButton="0" quotePrefix="0" xfId="0">
      <alignment horizontal="center"/>
    </xf>
    <xf numFmtId="170" fontId="2" fillId="2" borderId="89" applyAlignment="1" pivotButton="0" quotePrefix="0" xfId="0">
      <alignment horizontal="center"/>
    </xf>
    <xf numFmtId="170" fontId="2" fillId="0" borderId="43" applyAlignment="1" pivotButton="0" quotePrefix="0" xfId="0">
      <alignment horizontal="center"/>
    </xf>
    <xf numFmtId="167" fontId="2" fillId="2" borderId="8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167" fontId="1" fillId="0" borderId="8" applyAlignment="1" pivotButton="0" quotePrefix="0" xfId="0">
      <alignment horizontal="center" wrapText="1"/>
    </xf>
    <xf numFmtId="167" fontId="2" fillId="0" borderId="94" applyAlignment="1" pivotButton="0" quotePrefix="0" xfId="0">
      <alignment horizontal="center"/>
    </xf>
    <xf numFmtId="167" fontId="2" fillId="2" borderId="85" applyAlignment="1" pivotButton="0" quotePrefix="0" xfId="0">
      <alignment horizontal="center"/>
    </xf>
    <xf numFmtId="167" fontId="2" fillId="0" borderId="98" applyAlignment="1" pivotButton="0" quotePrefix="0" xfId="0">
      <alignment horizontal="right"/>
    </xf>
    <xf numFmtId="174" fontId="1" fillId="0" borderId="0" pivotButton="0" quotePrefix="0" xfId="0"/>
    <xf numFmtId="167" fontId="2" fillId="2" borderId="59" applyAlignment="1" pivotButton="0" quotePrefix="0" xfId="0">
      <alignment horizontal="center" vertical="center"/>
    </xf>
    <xf numFmtId="167" fontId="1" fillId="0" borderId="1" applyAlignment="1" pivotButton="0" quotePrefix="0" xfId="0">
      <alignment horizontal="center"/>
    </xf>
    <xf numFmtId="167" fontId="1" fillId="2" borderId="8" applyAlignment="1" pivotButton="0" quotePrefix="0" xfId="0">
      <alignment horizontal="center" wrapText="1"/>
    </xf>
    <xf numFmtId="167" fontId="1" fillId="0" borderId="8" applyAlignment="1" pivotButton="0" quotePrefix="0" xfId="0">
      <alignment wrapText="1"/>
    </xf>
    <xf numFmtId="167" fontId="10" fillId="3" borderId="20" applyAlignment="1" pivotButton="0" quotePrefix="0" xfId="0">
      <alignment horizontal="center"/>
    </xf>
    <xf numFmtId="170" fontId="2" fillId="5" borderId="66" applyAlignment="1" pivotButton="0" quotePrefix="0" xfId="0">
      <alignment horizontal="center"/>
    </xf>
    <xf numFmtId="170" fontId="2" fillId="5" borderId="102" applyAlignment="1" pivotButton="0" quotePrefix="0" xfId="0">
      <alignment horizontal="center"/>
    </xf>
    <xf numFmtId="175" fontId="1" fillId="0" borderId="46" applyAlignment="1" pivotButton="0" quotePrefix="0" xfId="0">
      <alignment horizontal="right"/>
    </xf>
    <xf numFmtId="175" fontId="1" fillId="0" borderId="6" applyAlignment="1" pivotButton="0" quotePrefix="0" xfId="0">
      <alignment horizontal="right"/>
    </xf>
    <xf numFmtId="170" fontId="2" fillId="5" borderId="20" applyAlignment="1" pivotButton="0" quotePrefix="0" xfId="0">
      <alignment horizontal="center"/>
    </xf>
    <xf numFmtId="167" fontId="1" fillId="2" borderId="9" applyAlignment="1" pivotButton="0" quotePrefix="0" xfId="0">
      <alignment horizontal="center"/>
    </xf>
    <xf numFmtId="175" fontId="10" fillId="3" borderId="100" applyAlignment="1" pivotButton="0" quotePrefix="0" xfId="0">
      <alignment horizontal="center"/>
    </xf>
    <xf numFmtId="175" fontId="13" fillId="5" borderId="26" applyAlignment="1" pivotButton="0" quotePrefix="0" xfId="0">
      <alignment horizontal="center"/>
    </xf>
    <xf numFmtId="168" fontId="2" fillId="2" borderId="8" applyAlignment="1" pivotButton="0" quotePrefix="0" xfId="0">
      <alignment vertical="center" wrapText="1"/>
    </xf>
    <xf numFmtId="167" fontId="2" fillId="2" borderId="85" applyAlignment="1" pivotButton="0" quotePrefix="0" xfId="0">
      <alignment horizontal="center" wrapText="1"/>
    </xf>
    <xf numFmtId="174" fontId="1" fillId="0" borderId="8" pivotButton="0" quotePrefix="0" xfId="0"/>
    <xf numFmtId="168" fontId="13" fillId="3" borderId="100" applyAlignment="1" pivotButton="0" quotePrefix="0" xfId="0">
      <alignment horizontal="right"/>
    </xf>
    <xf numFmtId="167" fontId="2" fillId="0" borderId="8" applyAlignment="1" pivotButton="0" quotePrefix="0" xfId="0">
      <alignment horizontal="center"/>
    </xf>
    <xf numFmtId="170" fontId="13" fillId="0" borderId="2" applyAlignment="1" pivotButton="0" quotePrefix="0" xfId="0">
      <alignment horizontal="right"/>
    </xf>
    <xf numFmtId="167" fontId="2" fillId="2" borderId="66" applyAlignment="1" pivotButton="0" quotePrefix="0" xfId="0">
      <alignment horizontal="center"/>
    </xf>
    <xf numFmtId="167" fontId="2" fillId="0" borderId="2" applyAlignment="1" pivotButton="0" quotePrefix="0" xfId="0">
      <alignment horizontal="center"/>
    </xf>
    <xf numFmtId="171" fontId="2" fillId="2" borderId="59" applyAlignment="1" pivotButton="0" quotePrefix="0" xfId="0">
      <alignment horizontal="center"/>
    </xf>
    <xf numFmtId="167" fontId="1" fillId="2" borderId="55" applyAlignment="1" pivotButton="0" quotePrefix="0" xfId="0">
      <alignment horizontal="center"/>
    </xf>
    <xf numFmtId="167" fontId="2" fillId="10" borderId="8" applyAlignment="1" pivotButton="0" quotePrefix="0" xfId="0">
      <alignment horizontal="center"/>
    </xf>
    <xf numFmtId="167" fontId="2" fillId="3" borderId="107" applyAlignment="1" pivotButton="0" quotePrefix="0" xfId="0">
      <alignment horizontal="center"/>
    </xf>
    <xf numFmtId="167" fontId="2" fillId="3" borderId="8" applyAlignment="1" pivotButton="0" quotePrefix="0" xfId="0">
      <alignment horizontal="center"/>
    </xf>
    <xf numFmtId="167" fontId="2" fillId="0" borderId="29" applyAlignment="1" pivotButton="0" quotePrefix="0" xfId="0">
      <alignment horizontal="center"/>
    </xf>
    <xf numFmtId="167" fontId="2" fillId="0" borderId="9" applyAlignment="1" pivotButton="0" quotePrefix="0" xfId="0">
      <alignment horizontal="center"/>
    </xf>
    <xf numFmtId="167" fontId="2" fillId="0" borderId="55" applyAlignment="1" pivotButton="0" quotePrefix="0" xfId="0">
      <alignment horizontal="center"/>
    </xf>
    <xf numFmtId="174" fontId="2" fillId="0" borderId="6" applyAlignment="1" pivotButton="0" quotePrefix="0" xfId="0">
      <alignment horizontal="center"/>
    </xf>
    <xf numFmtId="167" fontId="10" fillId="3" borderId="8" applyAlignment="1" pivotButton="0" quotePrefix="0" xfId="0">
      <alignment horizontal="center"/>
    </xf>
    <xf numFmtId="169" fontId="2" fillId="2" borderId="8" applyAlignment="1" pivotButton="0" quotePrefix="0" xfId="0">
      <alignment horizontal="center"/>
    </xf>
    <xf numFmtId="175" fontId="1" fillId="0" borderId="96" pivotButton="0" quotePrefix="0" xfId="0"/>
    <xf numFmtId="167" fontId="2" fillId="2" borderId="28" applyAlignment="1" pivotButton="0" quotePrefix="0" xfId="0">
      <alignment horizontal="center"/>
    </xf>
    <xf numFmtId="175" fontId="6" fillId="2" borderId="8" applyAlignment="1" pivotButton="0" quotePrefix="0" xfId="0">
      <alignment horizontal="center"/>
    </xf>
    <xf numFmtId="167" fontId="13" fillId="3" borderId="28" applyAlignment="1" pivotButton="0" quotePrefix="0" xfId="0">
      <alignment horizontal="center"/>
    </xf>
    <xf numFmtId="167" fontId="2" fillId="0" borderId="14" pivotButton="0" quotePrefix="0" xfId="0"/>
    <xf numFmtId="167" fontId="2" fillId="0" borderId="46" pivotButton="0" quotePrefix="0" xfId="0"/>
    <xf numFmtId="175" fontId="7" fillId="7" borderId="8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D123" authorId="0" shapeId="0">
      <text>
        <t>Khushahal Kant Upraity (Mktg/Padi/SCL):
Per KG ref taken from Manwhittle comp housing quote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%20Cost%20template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thula\Downloads\original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 Cost template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Existing part"/>
      <sheetName val="Die"/>
      <sheetName val="Comparison"/>
      <sheetName val="Points -Discuss"/>
      <sheetName val="Current price in SAP"/>
      <sheetName val="Business Case"/>
      <sheetName val="sales per emp"/>
      <sheetName val="Comparison."/>
      <sheetName val="comp"/>
      <sheetName val="comparison..."/>
      <sheetName val="Sheet4"/>
      <sheetName val="tco us"/>
      <sheetName val="summa"/>
      <sheetName val="Product Cost sheet"/>
      <sheetName val="Sheet6"/>
      <sheetName val="purchase"/>
      <sheetName val="Input Sheet"/>
      <sheetName val=" Cost template"/>
      <sheetName val="Process &amp; Element wise cost"/>
      <sheetName val="AFM"/>
      <sheetName val="Machining cost table"/>
      <sheetName val="Dashboard view"/>
      <sheetName val="Npv  Irr"/>
      <sheetName val=" Financials"/>
      <sheetName val="Cummins Domestci"/>
      <sheetName val="Sheet3"/>
      <sheetName val=" Project Capex-Opex Details"/>
      <sheetName val="Sheet11"/>
      <sheetName val="Sheet2"/>
      <sheetName val="SHEET12"/>
      <sheetName val="Investment Summary"/>
      <sheetName val="8.Depreciation "/>
      <sheetName val="Inventory and Debtor Days"/>
      <sheetName val=" P&amp;L"/>
      <sheetName val="Operatnl Savings-Costs det."/>
      <sheetName val="i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AY1000"/>
  <sheetViews>
    <sheetView tabSelected="1" topLeftCell="J1" zoomScale="75" zoomScaleNormal="99" workbookViewId="0">
      <selection activeCell="AB7" sqref="AB7"/>
    </sheetView>
  </sheetViews>
  <sheetFormatPr baseColWidth="8" defaultColWidth="12.6640625" defaultRowHeight="15.75" customHeight="1"/>
  <cols>
    <col width="1.44140625" customWidth="1" style="517" min="1" max="1"/>
    <col width="42.6640625" customWidth="1" style="517" min="2" max="2"/>
    <col width="27.6640625" customWidth="1" style="517" min="3" max="3"/>
    <col width="16.33203125" customWidth="1" style="517" min="4" max="4"/>
    <col width="9.44140625" customWidth="1" style="517" min="5" max="5"/>
    <col width="39.77734375" customWidth="1" style="517" min="6" max="6"/>
    <col width="35.6640625" customWidth="1" style="517" min="7" max="7"/>
    <col width="5.44140625" customWidth="1" style="517" min="8" max="8"/>
    <col width="4.21875" customWidth="1" style="517" min="9" max="9"/>
    <col width="39.88671875" customWidth="1" style="517" min="10" max="10"/>
    <col width="8.6640625" customWidth="1" style="517" min="11" max="13"/>
    <col width="9.88671875" customWidth="1" style="517" min="14" max="14"/>
    <col width="13.44140625" customWidth="1" style="517" min="15" max="15"/>
    <col width="7.6640625" customWidth="1" style="517" min="16" max="17"/>
    <col width="19.6640625" customWidth="1" style="517" min="18" max="18"/>
    <col width="7.6640625" customWidth="1" style="517" min="19" max="19"/>
    <col width="8" customWidth="1" style="517" min="20" max="20"/>
    <col width="33.109375" customWidth="1" style="517" min="21" max="21"/>
    <col width="7.6640625" customWidth="1" style="517" min="22" max="22"/>
    <col width="27.44140625" customWidth="1" style="517" min="23" max="23"/>
    <col width="15.77734375" customWidth="1" style="517" min="24" max="24"/>
    <col width="5.21875" customWidth="1" style="517" min="25" max="25"/>
    <col width="6.77734375" customWidth="1" style="517" min="26" max="26"/>
    <col width="5.88671875" customWidth="1" style="517" min="27" max="27"/>
    <col width="22.77734375" customWidth="1" style="517" min="28" max="28"/>
    <col width="16.109375" customWidth="1" style="517" min="29" max="29"/>
    <col width="23.21875" customWidth="1" style="517" min="30" max="30"/>
    <col width="12.109375" customWidth="1" style="517" min="31" max="34"/>
    <col width="12.88671875" customWidth="1" style="517" min="35" max="35"/>
    <col width="12.109375" customWidth="1" style="517" min="36" max="37"/>
    <col width="26.21875" customWidth="1" style="517" min="38" max="38"/>
    <col width="16.77734375" customWidth="1" style="517" min="39" max="39"/>
    <col width="9" customWidth="1" style="517" min="40" max="40"/>
    <col width="7.6640625" customWidth="1" style="517" min="41" max="41"/>
    <col width="8.44140625" customWidth="1" style="517" min="42" max="42"/>
    <col width="23.88671875" customWidth="1" style="517" min="43" max="43"/>
    <col width="22" customWidth="1" style="517" min="44" max="44"/>
    <col width="8.88671875" customWidth="1" style="517" min="45" max="45"/>
    <col width="29" customWidth="1" style="517" min="46" max="46"/>
    <col width="8.77734375" customWidth="1" style="517" min="47" max="47"/>
    <col width="15.88671875" customWidth="1" style="517" min="48" max="48"/>
    <col width="13.88671875" customWidth="1" style="517" min="49" max="49"/>
    <col width="7.6640625" customWidth="1" style="517" min="50" max="51"/>
  </cols>
  <sheetData>
    <row r="1" ht="55.5" customHeight="1" s="517">
      <c r="B1" s="1" t="inlineStr">
        <is>
          <t xml:space="preserve">                              RFQ ESTIMATION FOR PRESSURE DIE CASTING </t>
        </is>
      </c>
      <c r="C1" s="2" t="n"/>
      <c r="D1" s="2" t="n"/>
      <c r="E1" s="3" t="n"/>
      <c r="F1" s="3" t="inlineStr">
        <is>
          <t>SOP Jun 2024</t>
        </is>
      </c>
      <c r="G1" s="4" t="inlineStr">
        <is>
          <t>Rs. In lakhs</t>
        </is>
      </c>
      <c r="K1" s="5" t="n"/>
      <c r="L1" s="5">
        <f>K1+1</f>
        <v/>
      </c>
      <c r="M1" s="5">
        <f>L1+1</f>
        <v/>
      </c>
      <c r="N1" s="5">
        <f>M1+1</f>
        <v/>
      </c>
      <c r="O1" s="5">
        <f>N1+1</f>
        <v/>
      </c>
      <c r="T1" s="6" t="n"/>
      <c r="U1" s="563" t="n"/>
      <c r="V1" s="564" t="inlineStr">
        <is>
          <t>Capex</t>
        </is>
      </c>
      <c r="W1" s="564" t="inlineStr">
        <is>
          <t>Revex</t>
        </is>
      </c>
      <c r="X1" s="563" t="n"/>
      <c r="Y1" s="565" t="n">
        <v>0.05</v>
      </c>
      <c r="Z1" s="566" t="n">
        <v>0.03</v>
      </c>
      <c r="AA1" s="563" t="n"/>
      <c r="AB1" s="567" t="n"/>
      <c r="AC1" s="56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8" t="n"/>
    </row>
    <row r="2" ht="17.25" customHeight="1" s="517">
      <c r="B2" s="9" t="inlineStr">
        <is>
          <t>RFQ No.</t>
        </is>
      </c>
      <c r="C2" s="10" t="n"/>
      <c r="D2" s="11" t="n"/>
      <c r="E2" s="12" t="n"/>
      <c r="F2" s="9" t="inlineStr">
        <is>
          <t>Die</t>
        </is>
      </c>
      <c r="G2" s="13" t="inlineStr">
        <is>
          <t>Amortization</t>
        </is>
      </c>
      <c r="J2" s="14" t="n"/>
      <c r="K2" s="15" t="inlineStr">
        <is>
          <t>Year1</t>
        </is>
      </c>
      <c r="L2" s="15" t="inlineStr">
        <is>
          <t>Year2</t>
        </is>
      </c>
      <c r="M2" s="15" t="inlineStr">
        <is>
          <t>Year3</t>
        </is>
      </c>
      <c r="N2" s="15" t="inlineStr">
        <is>
          <t>Year4</t>
        </is>
      </c>
      <c r="O2" s="15" t="inlineStr">
        <is>
          <t>Year5</t>
        </is>
      </c>
      <c r="R2" s="6" t="n"/>
      <c r="T2" s="6" t="n"/>
      <c r="U2" s="563" t="inlineStr">
        <is>
          <t xml:space="preserve">Inflation factor </t>
        </is>
      </c>
      <c r="V2" s="568" t="n">
        <v>0.05</v>
      </c>
      <c r="W2" s="569" t="n">
        <v>0.03</v>
      </c>
      <c r="X2" s="563" t="n"/>
      <c r="Y2" s="563">
        <f>V3+(V3*Y1)</f>
        <v/>
      </c>
      <c r="Z2" s="563">
        <f>W3+(W3*Z1)</f>
        <v/>
      </c>
      <c r="AA2" s="563" t="inlineStr">
        <is>
          <t>2021-22</t>
        </is>
      </c>
      <c r="AB2" s="567" t="n"/>
      <c r="AC2" s="56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8" t="n"/>
    </row>
    <row r="3" ht="17.25" customHeight="1" s="517">
      <c r="B3" s="17" t="inlineStr">
        <is>
          <t>Process</t>
        </is>
      </c>
      <c r="C3" s="18" t="inlineStr">
        <is>
          <t>GDC</t>
        </is>
      </c>
      <c r="D3" s="19" t="inlineStr">
        <is>
          <t>With Machining</t>
        </is>
      </c>
      <c r="E3" s="20" t="n"/>
      <c r="F3" s="21" t="inlineStr">
        <is>
          <t>LME Cost</t>
        </is>
      </c>
      <c r="G3" s="22" t="n"/>
      <c r="J3" s="14" t="inlineStr">
        <is>
          <t>Volume</t>
        </is>
      </c>
      <c r="K3" s="23">
        <f>G4</f>
        <v/>
      </c>
      <c r="L3" s="23">
        <f>K3</f>
        <v/>
      </c>
      <c r="M3" s="23">
        <f>L3</f>
        <v/>
      </c>
      <c r="N3" s="23">
        <f>M3</f>
        <v/>
      </c>
      <c r="O3" s="23">
        <f>N3</f>
        <v/>
      </c>
      <c r="T3" s="6" t="n"/>
      <c r="U3" s="563" t="inlineStr">
        <is>
          <t>If cost is</t>
        </is>
      </c>
      <c r="V3" s="563" t="n">
        <v>1</v>
      </c>
      <c r="W3" s="563" t="n">
        <v>1</v>
      </c>
      <c r="X3" s="563" t="n"/>
      <c r="Y3" s="570">
        <f>Y2+(Y2*Y1)</f>
        <v/>
      </c>
      <c r="Z3" s="570">
        <f>Z2+(Z2*Z1)</f>
        <v/>
      </c>
      <c r="AA3" s="563" t="inlineStr">
        <is>
          <t>2022-23</t>
        </is>
      </c>
      <c r="AB3" s="567" t="n"/>
      <c r="AC3" s="56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8" t="n"/>
    </row>
    <row r="4" ht="17.25" customHeight="1" s="517">
      <c r="B4" s="17" t="inlineStr">
        <is>
          <t>Customer</t>
        </is>
      </c>
      <c r="C4" s="24" t="n"/>
      <c r="D4" s="25" t="n"/>
      <c r="E4" s="20" t="n"/>
      <c r="F4" s="26" t="inlineStr">
        <is>
          <t xml:space="preserve">Annual volume (Nos)  </t>
        </is>
      </c>
      <c r="G4" s="27" t="n"/>
      <c r="J4" s="14" t="inlineStr">
        <is>
          <t>Debtor days- Credit period to customer</t>
        </is>
      </c>
      <c r="K4" s="28" t="n"/>
      <c r="T4" s="6" t="n"/>
      <c r="U4" s="563" t="inlineStr">
        <is>
          <t>2019-20</t>
        </is>
      </c>
      <c r="V4" s="574">
        <f>+V3</f>
        <v/>
      </c>
      <c r="W4" s="574">
        <f>+W3</f>
        <v/>
      </c>
      <c r="X4" s="563" t="n"/>
      <c r="Y4" s="563">
        <f>Y3+(Y3*Y1)</f>
        <v/>
      </c>
      <c r="Z4" s="570">
        <f>Z3+(Z3*Z1)</f>
        <v/>
      </c>
      <c r="AA4" s="563" t="inlineStr">
        <is>
          <t>2023-24</t>
        </is>
      </c>
      <c r="AB4" s="567" t="inlineStr">
        <is>
          <t>SOP</t>
        </is>
      </c>
      <c r="AC4" s="572">
        <f>[2]Die!L74</f>
        <v/>
      </c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8" t="n"/>
    </row>
    <row r="5" ht="17.25" customHeight="1" s="517">
      <c r="A5" s="5" t="n"/>
      <c r="B5" s="17" t="inlineStr">
        <is>
          <t>Final Part No.</t>
        </is>
      </c>
      <c r="C5" s="5" t="n"/>
      <c r="D5" s="25" t="n"/>
      <c r="E5" s="20" t="n"/>
      <c r="F5" s="26" t="inlineStr">
        <is>
          <t xml:space="preserve">Annual volume including rejection  (Nos)  </t>
        </is>
      </c>
      <c r="G5" s="27">
        <f>G4*1.15</f>
        <v/>
      </c>
      <c r="J5" s="14" t="inlineStr">
        <is>
          <t>Inventory days</t>
        </is>
      </c>
      <c r="K5" s="28" t="n"/>
      <c r="L5" s="5" t="inlineStr">
        <is>
          <t>(warehouse)</t>
        </is>
      </c>
      <c r="N5" s="7" t="n"/>
      <c r="O5" s="6" t="n"/>
      <c r="T5" s="6" t="n"/>
      <c r="U5" s="563" t="inlineStr">
        <is>
          <t>2021-22</t>
        </is>
      </c>
      <c r="V5" s="574">
        <f>Y2</f>
        <v/>
      </c>
      <c r="W5" s="574">
        <f>Z2</f>
        <v/>
      </c>
      <c r="X5" s="574">
        <f>W3</f>
        <v/>
      </c>
      <c r="Y5" s="563" t="n"/>
      <c r="Z5" s="573" t="n"/>
      <c r="AA5" s="563" t="n"/>
      <c r="AB5" s="567" t="n"/>
      <c r="AC5" s="56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8" t="n"/>
    </row>
    <row r="6" ht="17.25" customHeight="1" s="517">
      <c r="B6" s="17" t="inlineStr">
        <is>
          <t>Final Part Rev No.</t>
        </is>
      </c>
      <c r="C6" s="5">
        <f>C5</f>
        <v/>
      </c>
      <c r="D6" s="25" t="n"/>
      <c r="E6" s="20" t="n"/>
      <c r="F6" s="26" t="inlineStr">
        <is>
          <t>Bend removal/Profile tools- Lumpsum/Piece price</t>
        </is>
      </c>
      <c r="G6" s="27" t="inlineStr">
        <is>
          <t>Lumpsum</t>
        </is>
      </c>
      <c r="N6" s="7" t="n"/>
      <c r="O6" s="6" t="n"/>
      <c r="T6" s="6" t="n"/>
      <c r="U6" s="30" t="n"/>
      <c r="Z6" s="6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8" t="n"/>
    </row>
    <row r="7" ht="31.5" customHeight="1" s="517">
      <c r="B7" s="17" t="inlineStr">
        <is>
          <t>Description</t>
        </is>
      </c>
      <c r="C7" s="5" t="n"/>
      <c r="D7" s="25" t="n"/>
      <c r="E7" s="20" t="n"/>
      <c r="F7" s="31" t="inlineStr">
        <is>
          <t>Profile Cutting/ Trimming  Press / tool</t>
        </is>
      </c>
      <c r="G7" s="27" t="inlineStr">
        <is>
          <t>Lumpsum</t>
        </is>
      </c>
      <c r="N7" s="7" t="n"/>
      <c r="O7" s="6" t="n"/>
      <c r="T7" s="6" t="n"/>
      <c r="Z7" s="6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8" t="n"/>
    </row>
    <row r="8" ht="12.75" customHeight="1" s="517">
      <c r="B8" s="17" t="inlineStr">
        <is>
          <t>Alloy</t>
        </is>
      </c>
      <c r="C8" s="5" t="n"/>
      <c r="D8" s="539" t="n"/>
      <c r="E8" s="518" t="n"/>
      <c r="F8" s="26" t="inlineStr">
        <is>
          <t>Machined part wt (kg)</t>
        </is>
      </c>
      <c r="G8" s="575" t="n"/>
      <c r="N8" s="7" t="n"/>
      <c r="O8" s="6" t="n"/>
      <c r="T8" s="6" t="n"/>
      <c r="Z8" s="6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8" t="n"/>
    </row>
    <row r="9" ht="27" customHeight="1" s="517">
      <c r="B9" s="17" t="inlineStr">
        <is>
          <t>Cavity</t>
        </is>
      </c>
      <c r="C9" s="33" t="n">
        <v>1</v>
      </c>
      <c r="D9" s="540" t="n"/>
      <c r="E9" s="541" t="n"/>
      <c r="F9" s="26" t="inlineStr">
        <is>
          <t>Casting Weight (Kg)</t>
        </is>
      </c>
      <c r="G9" s="576" t="n"/>
      <c r="N9" s="7" t="n"/>
      <c r="O9" s="6" t="n"/>
      <c r="T9" s="6" t="n"/>
      <c r="U9" s="35" t="inlineStr">
        <is>
          <t>Cycle Time Details:</t>
        </is>
      </c>
      <c r="V9" s="531" t="n"/>
      <c r="W9" s="485" t="inlineStr">
        <is>
          <t>Assembly</t>
        </is>
      </c>
      <c r="X9" s="561" t="inlineStr">
        <is>
          <t>After Assembly Machining</t>
        </is>
      </c>
      <c r="Y9" s="484" t="n"/>
      <c r="Z9" s="6" t="n"/>
      <c r="AB9" s="38" t="n"/>
      <c r="AC9" s="485" t="inlineStr">
        <is>
          <t>Machining</t>
        </is>
      </c>
      <c r="AD9" s="483" t="n"/>
      <c r="AE9" s="483" t="n"/>
      <c r="AF9" s="483" t="n"/>
      <c r="AG9" s="483" t="n"/>
      <c r="AH9" s="483" t="n"/>
      <c r="AI9" s="484" t="n"/>
      <c r="AJ9" s="7" t="n"/>
      <c r="AK9" s="7" t="n"/>
      <c r="AL9" s="39" t="inlineStr">
        <is>
          <t>PACKING DIMENSION</t>
        </is>
      </c>
      <c r="AM9" s="40" t="n"/>
      <c r="AP9" s="38" t="n"/>
      <c r="AQ9" s="485" t="inlineStr">
        <is>
          <t>Machining- BO</t>
        </is>
      </c>
      <c r="AR9" s="483" t="n"/>
      <c r="AS9" s="483" t="n"/>
      <c r="AT9" s="483" t="n"/>
      <c r="AU9" s="483" t="n"/>
      <c r="AV9" s="483" t="n"/>
      <c r="AW9" s="484" t="n"/>
      <c r="AX9" s="41" t="n"/>
      <c r="AY9" s="41" t="n"/>
    </row>
    <row r="10" ht="15.75" customHeight="1" s="517">
      <c r="B10" s="42" t="inlineStr">
        <is>
          <t>Geographical segment</t>
        </is>
      </c>
      <c r="C10" s="43" t="inlineStr">
        <is>
          <t>Domestic</t>
        </is>
      </c>
      <c r="D10" s="43" t="inlineStr">
        <is>
          <t>CIF</t>
        </is>
      </c>
      <c r="E10" s="44" t="n"/>
      <c r="F10" s="45" t="inlineStr">
        <is>
          <t>L</t>
        </is>
      </c>
      <c r="G10" s="46" t="n"/>
      <c r="J10" s="30" t="inlineStr">
        <is>
          <t xml:space="preserve">Process </t>
        </is>
      </c>
      <c r="K10" s="47" t="inlineStr">
        <is>
          <t>GDC</t>
        </is>
      </c>
      <c r="N10" s="7" t="n"/>
      <c r="O10" s="6" t="n"/>
      <c r="T10" s="6" t="n"/>
      <c r="U10" s="531" t="inlineStr">
        <is>
          <t>Cycle time (min)</t>
        </is>
      </c>
      <c r="V10" s="531" t="n"/>
      <c r="W10" s="577" t="n"/>
      <c r="X10" s="578" t="n"/>
      <c r="Y10" s="50" t="n"/>
      <c r="Z10" s="6" t="n"/>
      <c r="AB10" s="9" t="inlineStr">
        <is>
          <t>RFQ No.</t>
        </is>
      </c>
      <c r="AC10" s="51">
        <f>C2</f>
        <v/>
      </c>
      <c r="AD10" s="52" t="n"/>
      <c r="AE10" s="53" t="n"/>
      <c r="AF10" s="54" t="inlineStr">
        <is>
          <t>Date</t>
        </is>
      </c>
      <c r="AG10" s="53" t="n"/>
      <c r="AH10" s="55" t="n"/>
      <c r="AI10" s="56" t="n"/>
      <c r="AJ10" s="7" t="n"/>
      <c r="AK10" s="7" t="n"/>
      <c r="AL10" s="57" t="inlineStr">
        <is>
          <t>L</t>
        </is>
      </c>
      <c r="AM10" s="58" t="n"/>
      <c r="AP10" s="9" t="inlineStr">
        <is>
          <t>RFQ No.</t>
        </is>
      </c>
      <c r="AQ10" s="59" t="n"/>
      <c r="AR10" s="52" t="n"/>
      <c r="AS10" s="53" t="n"/>
      <c r="AT10" s="54" t="inlineStr">
        <is>
          <t>Date</t>
        </is>
      </c>
      <c r="AU10" s="53" t="n"/>
      <c r="AV10" s="55" t="n"/>
      <c r="AW10" s="56" t="n"/>
      <c r="AX10" s="41" t="n"/>
      <c r="AY10" s="41" t="n"/>
    </row>
    <row r="11" ht="12.75" customHeight="1" s="517">
      <c r="B11" s="480" t="inlineStr">
        <is>
          <t>MACHINE SELECTION</t>
        </is>
      </c>
      <c r="C11" s="481" t="n"/>
      <c r="D11" s="481" t="n"/>
      <c r="E11" s="60" t="inlineStr">
        <is>
          <t>Dep%</t>
        </is>
      </c>
      <c r="F11" s="45" t="n"/>
      <c r="G11" s="46" t="n"/>
      <c r="I11" s="61" t="n"/>
      <c r="J11" s="62" t="inlineStr">
        <is>
          <t>Output/ m/c details:</t>
        </is>
      </c>
      <c r="K11" s="63" t="n"/>
      <c r="L11" s="64" t="inlineStr">
        <is>
          <t>No of cavities/ Loading</t>
        </is>
      </c>
      <c r="M11" s="65" t="inlineStr">
        <is>
          <t>Cycle Time (min)</t>
        </is>
      </c>
      <c r="N11" s="66" t="inlineStr">
        <is>
          <t>Output /hr</t>
        </is>
      </c>
      <c r="O11" s="525" t="inlineStr">
        <is>
          <t>GDC</t>
        </is>
      </c>
      <c r="P11" s="514" t="n"/>
      <c r="Q11" s="514" t="n"/>
      <c r="R11" s="514" t="n"/>
      <c r="S11" s="515" t="n"/>
      <c r="T11" s="6" t="n"/>
      <c r="U11" s="531" t="inlineStr">
        <is>
          <t>Output Per Hour (Nos)</t>
        </is>
      </c>
      <c r="V11" s="531" t="n"/>
      <c r="W11" s="67" t="n"/>
      <c r="X11" s="579" t="n"/>
      <c r="Y11" s="50" t="n"/>
      <c r="Z11" s="6" t="n"/>
      <c r="AB11" s="69" t="inlineStr">
        <is>
          <t>Customer</t>
        </is>
      </c>
      <c r="AC11" s="70">
        <f>C4</f>
        <v/>
      </c>
      <c r="AD11" s="71" t="n"/>
      <c r="AE11" s="72" t="n"/>
      <c r="AF11" s="73" t="inlineStr">
        <is>
          <t xml:space="preserve">Annual volume (Nos)  </t>
        </is>
      </c>
      <c r="AG11" s="72" t="n"/>
      <c r="AH11" s="74" t="n"/>
      <c r="AI11" s="75">
        <f>G4</f>
        <v/>
      </c>
      <c r="AJ11" s="7" t="n"/>
      <c r="AK11" s="7" t="n"/>
      <c r="AL11" s="57" t="inlineStr">
        <is>
          <t>B</t>
        </is>
      </c>
      <c r="AM11" s="58" t="n"/>
      <c r="AP11" s="17" t="inlineStr">
        <is>
          <t>Customer</t>
        </is>
      </c>
      <c r="AQ11" s="76" t="n"/>
      <c r="AR11" s="71" t="n"/>
      <c r="AS11" s="72" t="n"/>
      <c r="AT11" s="73" t="inlineStr">
        <is>
          <t xml:space="preserve">Annual volume (Nos)  </t>
        </is>
      </c>
      <c r="AU11" s="72" t="n"/>
      <c r="AV11" s="74" t="n"/>
      <c r="AW11" s="75" t="n"/>
      <c r="AX11" s="41" t="n"/>
      <c r="AY11" s="41" t="n"/>
    </row>
    <row r="12" ht="15" customHeight="1" s="517">
      <c r="B12" s="77" t="inlineStr">
        <is>
          <t>Projected area of casting including s/cores (cm2)</t>
        </is>
      </c>
      <c r="C12" s="580" t="n"/>
      <c r="D12" s="581" t="n"/>
      <c r="E12" s="581" t="n"/>
      <c r="F12" s="80" t="inlineStr">
        <is>
          <t>H</t>
        </is>
      </c>
      <c r="G12" s="46" t="n"/>
      <c r="I12" s="81" t="n"/>
      <c r="J12" s="82" t="inlineStr">
        <is>
          <t>Sand core 1</t>
        </is>
      </c>
      <c r="K12" s="83" t="n"/>
      <c r="L12" s="33" t="n"/>
      <c r="M12" s="582" t="n"/>
      <c r="N12" s="85" t="n"/>
      <c r="O12" s="516" t="n"/>
      <c r="S12" s="518" t="n"/>
      <c r="T12" s="6" t="n"/>
      <c r="U12" s="531" t="inlineStr">
        <is>
          <t>Cell Capacity (Nos)</t>
        </is>
      </c>
      <c r="V12" s="531" t="n"/>
      <c r="W12" s="86" t="n"/>
      <c r="X12" s="86" t="n"/>
      <c r="Y12" s="87" t="n"/>
      <c r="Z12" s="6" t="n"/>
      <c r="AB12" s="17" t="inlineStr">
        <is>
          <t>Final Part No.</t>
        </is>
      </c>
      <c r="AC12" s="88">
        <f>C5</f>
        <v/>
      </c>
      <c r="AD12" s="71" t="n"/>
      <c r="AE12" s="72" t="n"/>
      <c r="AF12" s="73" t="inlineStr">
        <is>
          <t xml:space="preserve">Annual volume incl. rejection (Nos)  </t>
        </is>
      </c>
      <c r="AG12" s="72" t="n"/>
      <c r="AH12" s="74" t="n"/>
      <c r="AI12" s="75">
        <f>+AI11*110%</f>
        <v/>
      </c>
      <c r="AJ12" s="7" t="n"/>
      <c r="AK12" s="7" t="n"/>
      <c r="AL12" s="57" t="inlineStr">
        <is>
          <t>H</t>
        </is>
      </c>
      <c r="AM12" s="58" t="n"/>
      <c r="AP12" s="17" t="inlineStr">
        <is>
          <t>Final Part No.</t>
        </is>
      </c>
      <c r="AQ12" s="89" t="n"/>
      <c r="AR12" s="71" t="n"/>
      <c r="AS12" s="72" t="n"/>
      <c r="AT12" s="73" t="inlineStr">
        <is>
          <t xml:space="preserve">Annual volume incl. rejection (Nos)  </t>
        </is>
      </c>
      <c r="AU12" s="72" t="n"/>
      <c r="AV12" s="74" t="n"/>
      <c r="AW12" s="75" t="n"/>
      <c r="AX12" s="41" t="n"/>
      <c r="AY12" s="41" t="n"/>
    </row>
    <row r="13" ht="14.25" customHeight="1" s="517">
      <c r="B13" s="90" t="inlineStr">
        <is>
          <t>Biscuit/ Runner/ Overflow area in %</t>
        </is>
      </c>
      <c r="C13" s="91" t="n"/>
      <c r="D13" s="581" t="n"/>
      <c r="E13" s="581" t="n"/>
      <c r="F13" s="548" t="inlineStr">
        <is>
          <t>PDC</t>
        </is>
      </c>
      <c r="G13" s="549" t="n"/>
      <c r="I13" s="92" t="n"/>
      <c r="J13" s="93" t="inlineStr">
        <is>
          <t>Sand core 2</t>
        </is>
      </c>
      <c r="K13" s="94" t="n"/>
      <c r="L13" s="33" t="n"/>
      <c r="M13" s="583" t="n"/>
      <c r="N13" s="85" t="n"/>
      <c r="O13" s="516" t="n"/>
      <c r="S13" s="518" t="n"/>
      <c r="T13" s="6" t="n"/>
      <c r="U13" s="96" t="inlineStr">
        <is>
          <t>Cell Utilisation</t>
        </is>
      </c>
      <c r="V13" s="97" t="n"/>
      <c r="W13" s="98" t="n"/>
      <c r="X13" s="98" t="n"/>
      <c r="Y13" s="584" t="n"/>
      <c r="Z13" s="6" t="n"/>
      <c r="AB13" s="17" t="inlineStr">
        <is>
          <t>Final Part Rev No.</t>
        </is>
      </c>
      <c r="AC13" s="100" t="n"/>
      <c r="AD13" s="71" t="n"/>
      <c r="AE13" s="72" t="n"/>
      <c r="AF13" s="73" t="inlineStr">
        <is>
          <t>Machined part wt (kg)</t>
        </is>
      </c>
      <c r="AG13" s="72" t="n"/>
      <c r="AH13" s="74" t="n"/>
      <c r="AI13" s="101">
        <f>G8</f>
        <v/>
      </c>
      <c r="AJ13" s="7" t="n"/>
      <c r="AK13" s="7" t="n"/>
      <c r="AL13" s="57" t="inlineStr">
        <is>
          <t>VCI COST  PER PIECE</t>
        </is>
      </c>
      <c r="AM13" s="585" t="n"/>
      <c r="AP13" s="17" t="inlineStr">
        <is>
          <t>Final Part Rev No.</t>
        </is>
      </c>
      <c r="AQ13" s="89" t="n"/>
      <c r="AR13" s="71" t="n"/>
      <c r="AS13" s="72" t="n"/>
      <c r="AT13" s="73" t="inlineStr">
        <is>
          <t>Machined part wt (kg)</t>
        </is>
      </c>
      <c r="AU13" s="72" t="n"/>
      <c r="AV13" s="74" t="n"/>
      <c r="AW13" s="586" t="n"/>
      <c r="AX13" s="41" t="n"/>
      <c r="AY13" s="41" t="n"/>
    </row>
    <row r="14" ht="15" customHeight="1" s="517">
      <c r="B14" s="90" t="inlineStr">
        <is>
          <t>Total projected area  (cm2)</t>
        </is>
      </c>
      <c r="C14" s="587" t="n"/>
      <c r="D14" s="581" t="n"/>
      <c r="E14" s="581" t="n"/>
      <c r="F14" s="526" t="n"/>
      <c r="G14" s="550" t="n"/>
      <c r="I14" s="92" t="n"/>
      <c r="J14" s="93" t="inlineStr">
        <is>
          <t>Sand core 3</t>
        </is>
      </c>
      <c r="K14" s="94" t="n"/>
      <c r="L14" s="33" t="n"/>
      <c r="M14" s="583" t="n"/>
      <c r="N14" s="85" t="n"/>
      <c r="O14" s="526" t="n"/>
      <c r="P14" s="527" t="n"/>
      <c r="Q14" s="527" t="n"/>
      <c r="R14" s="527" t="n"/>
      <c r="S14" s="528" t="n"/>
      <c r="T14" s="6" t="n"/>
      <c r="U14" s="105" t="inlineStr">
        <is>
          <t>No. of cells required</t>
        </is>
      </c>
      <c r="V14" s="105" t="n"/>
      <c r="W14" s="106" t="n"/>
      <c r="X14" s="588" t="n"/>
      <c r="Y14" s="108" t="n"/>
      <c r="Z14" s="6" t="n"/>
      <c r="AB14" s="17" t="inlineStr">
        <is>
          <t>Description</t>
        </is>
      </c>
      <c r="AC14" s="88">
        <f>C7</f>
        <v/>
      </c>
      <c r="AD14" s="71" t="n"/>
      <c r="AE14" s="72" t="n"/>
      <c r="AF14" s="72" t="inlineStr">
        <is>
          <t>LBH (mm)</t>
        </is>
      </c>
      <c r="AG14" s="109">
        <f>G10</f>
        <v/>
      </c>
      <c r="AH14" s="110">
        <f>G11</f>
        <v/>
      </c>
      <c r="AI14" s="111">
        <f>G12</f>
        <v/>
      </c>
      <c r="AJ14" s="7" t="n"/>
      <c r="AK14" s="7" t="n"/>
      <c r="AL14" s="57" t="inlineStr">
        <is>
          <t>Sea freight - USD per container</t>
        </is>
      </c>
      <c r="AM14" s="589" t="n"/>
      <c r="AP14" s="17" t="inlineStr">
        <is>
          <t>Description</t>
        </is>
      </c>
      <c r="AQ14" s="89" t="n"/>
      <c r="AR14" s="71" t="n"/>
      <c r="AS14" s="72" t="n"/>
      <c r="AT14" s="72" t="inlineStr">
        <is>
          <t>LBH (mm)</t>
        </is>
      </c>
      <c r="AU14" s="72" t="n"/>
      <c r="AV14" s="74" t="n"/>
      <c r="AW14" s="111" t="n"/>
      <c r="AX14" s="41" t="n"/>
      <c r="AY14" s="41" t="n"/>
    </row>
    <row r="15" ht="12.75" customHeight="1" s="517">
      <c r="B15" s="90" t="inlineStr">
        <is>
          <t>Specific injection pressure (kg/cm2)</t>
        </is>
      </c>
      <c r="C15" s="113" t="n"/>
      <c r="D15" s="581" t="n"/>
      <c r="E15" s="581" t="n"/>
      <c r="F15" s="494" t="inlineStr">
        <is>
          <t>DIE DETAILS</t>
        </is>
      </c>
      <c r="G15" s="495" t="n"/>
      <c r="I15" s="92" t="n"/>
      <c r="J15" s="93" t="inlineStr">
        <is>
          <t>Sand core 4</t>
        </is>
      </c>
      <c r="K15" s="94" t="n"/>
      <c r="L15" s="33" t="n"/>
      <c r="M15" s="583" t="n"/>
      <c r="N15" s="85" t="n"/>
      <c r="O15" s="501" t="inlineStr">
        <is>
          <t xml:space="preserve">Weight of Sand core/ part (kg) (f any) </t>
        </is>
      </c>
      <c r="P15" s="502" t="n"/>
      <c r="Q15" s="502" t="n"/>
      <c r="R15" s="503" t="n"/>
      <c r="S15" s="114" t="n"/>
      <c r="T15" s="6" t="n"/>
      <c r="U15" s="115" t="n"/>
      <c r="V15" s="116" t="n"/>
      <c r="W15" s="116" t="n"/>
      <c r="X15" s="117" t="n"/>
      <c r="Y15" s="118" t="n"/>
      <c r="Z15" s="6" t="n"/>
      <c r="AB15" s="119" t="inlineStr">
        <is>
          <t>Alloy</t>
        </is>
      </c>
      <c r="AC15" s="120">
        <f>C8</f>
        <v/>
      </c>
      <c r="AD15" s="121" t="n"/>
      <c r="AE15" s="122" t="n"/>
      <c r="AF15" s="122" t="n"/>
      <c r="AG15" s="122" t="n"/>
      <c r="AH15" s="123" t="inlineStr">
        <is>
          <t>Takt time</t>
        </is>
      </c>
      <c r="AI15" s="590" t="n"/>
      <c r="AJ15" s="7" t="n"/>
      <c r="AK15" s="7" t="n"/>
      <c r="AL15" s="57" t="inlineStr">
        <is>
          <t>Fumigation cost per container</t>
        </is>
      </c>
      <c r="AM15" s="591">
        <f>3500*W5</f>
        <v/>
      </c>
      <c r="AP15" s="119" t="inlineStr">
        <is>
          <t>Alloy</t>
        </is>
      </c>
      <c r="AQ15" s="126" t="n"/>
      <c r="AR15" s="121" t="n"/>
      <c r="AS15" s="122" t="n"/>
      <c r="AT15" s="122" t="n"/>
      <c r="AU15" s="122" t="n"/>
      <c r="AV15" s="123" t="n"/>
      <c r="AW15" s="590" t="n"/>
      <c r="AX15" s="41" t="n"/>
      <c r="AY15" s="41" t="n"/>
    </row>
    <row r="16" ht="24.75" customHeight="1" s="517">
      <c r="B16" s="90" t="inlineStr">
        <is>
          <t>Machine efficiency (%)</t>
        </is>
      </c>
      <c r="C16" s="127" t="n"/>
      <c r="D16" s="581" t="n"/>
      <c r="E16" s="581" t="n"/>
      <c r="F16" s="128" t="inlineStr">
        <is>
          <t>Estimated die cost for the given Tonnage (Rs.in lakhs)</t>
        </is>
      </c>
      <c r="G16" s="129" t="n"/>
      <c r="I16" s="92" t="n"/>
      <c r="J16" s="72" t="inlineStr">
        <is>
          <t>Decore</t>
        </is>
      </c>
      <c r="K16" s="94" t="n"/>
      <c r="L16" s="33" t="n"/>
      <c r="M16" s="583" t="n"/>
      <c r="N16" s="85" t="n"/>
      <c r="O16" s="511" t="inlineStr">
        <is>
          <t>Man power / shift/ cell</t>
        </is>
      </c>
      <c r="P16" s="507" t="n"/>
      <c r="Q16" s="507" t="n"/>
      <c r="R16" s="493" t="n"/>
      <c r="S16" s="130" t="n"/>
      <c r="T16" s="6" t="n"/>
      <c r="U16" s="131" t="inlineStr">
        <is>
          <t>Assembly Cost Details: (Rs.)</t>
        </is>
      </c>
      <c r="V16" s="7" t="n"/>
      <c r="W16" s="132" t="inlineStr">
        <is>
          <t>Capex Rs L</t>
        </is>
      </c>
      <c r="X16" s="132" t="inlineStr">
        <is>
          <t>Opex Rs L</t>
        </is>
      </c>
      <c r="Y16" s="132" t="n"/>
      <c r="Z16" s="538" t="inlineStr">
        <is>
          <t>Dep %</t>
        </is>
      </c>
      <c r="AB16" s="134" t="n"/>
      <c r="AC16" s="7" t="n"/>
      <c r="AD16" s="7" t="n"/>
      <c r="AE16" s="7" t="n"/>
      <c r="AF16" s="7" t="n"/>
      <c r="AG16" s="7" t="n"/>
      <c r="AH16" s="7" t="n"/>
      <c r="AI16" s="135" t="n"/>
      <c r="AJ16" s="7" t="n"/>
      <c r="AK16" s="7" t="n"/>
      <c r="AL16" s="57" t="inlineStr">
        <is>
          <t>Warehousing in USD</t>
        </is>
      </c>
      <c r="AM16" s="589" t="n"/>
      <c r="AN16" s="592" t="n"/>
      <c r="AP16" s="134" t="n"/>
      <c r="AQ16" s="7" t="n"/>
      <c r="AR16" s="7" t="n"/>
      <c r="AS16" s="7" t="n"/>
      <c r="AT16" s="7" t="n"/>
      <c r="AU16" s="7" t="n"/>
      <c r="AV16" s="7" t="n"/>
      <c r="AW16" s="135" t="n"/>
    </row>
    <row r="17" ht="38.25" customHeight="1" s="517">
      <c r="B17" s="90" t="inlineStr">
        <is>
          <t>No.of Side cores considered (Nos)</t>
        </is>
      </c>
      <c r="C17" s="137" t="n"/>
      <c r="D17" s="581" t="n"/>
      <c r="E17" s="581" t="n"/>
      <c r="F17" s="17" t="inlineStr">
        <is>
          <t>No.of dies reqd. (Nos)</t>
        </is>
      </c>
      <c r="G17" s="129" t="n"/>
      <c r="I17" s="92">
        <f>(D13)*I53*1.1</f>
        <v/>
      </c>
      <c r="J17" s="72" t="inlineStr">
        <is>
          <t>Casting</t>
        </is>
      </c>
      <c r="K17" s="94" t="n"/>
      <c r="L17" s="33" t="n"/>
      <c r="M17" s="583" t="n"/>
      <c r="N17" s="85" t="n"/>
      <c r="O17" s="558" t="inlineStr">
        <is>
          <t>Floor space /cell (Sq.m) (includes Die casting, Post casting, WIP, Sand core, finished goods, HT, SH/blast, Melting)</t>
        </is>
      </c>
      <c r="P17" s="559" t="n"/>
      <c r="Q17" s="559" t="n"/>
      <c r="R17" s="560" t="n"/>
      <c r="S17" s="546" t="n"/>
      <c r="T17" s="6" t="n"/>
      <c r="U17" s="138" t="inlineStr">
        <is>
          <t>Plug threaded- Semi Auto assembly station-1</t>
        </is>
      </c>
      <c r="V17" s="139" t="n"/>
      <c r="W17" s="140" t="n"/>
      <c r="X17" s="140" t="n"/>
      <c r="Y17" s="141" t="n"/>
      <c r="Z17" s="142" t="n"/>
      <c r="AB17" s="536" t="inlineStr">
        <is>
          <t>Opn. No.</t>
        </is>
      </c>
      <c r="AC17" s="536" t="inlineStr">
        <is>
          <t>Description</t>
        </is>
      </c>
      <c r="AD17" s="484" t="n"/>
      <c r="AE17" s="536" t="inlineStr">
        <is>
          <t>Cycle Time (min)</t>
        </is>
      </c>
      <c r="AF17" s="536" t="inlineStr">
        <is>
          <t>No of m/cs</t>
        </is>
      </c>
      <c r="AG17" s="536" t="inlineStr">
        <is>
          <t>Manpower/
shift</t>
        </is>
      </c>
      <c r="AH17" s="536" t="inlineStr">
        <is>
          <t>Cost of Machine</t>
        </is>
      </c>
      <c r="AI17" s="536" t="inlineStr">
        <is>
          <t>Rs. In L</t>
        </is>
      </c>
      <c r="AJ17" s="7" t="n"/>
      <c r="AK17" s="7" t="n"/>
      <c r="AL17" s="7" t="n"/>
      <c r="AM17" s="593" t="n"/>
      <c r="AP17" s="557" t="inlineStr">
        <is>
          <t>Opn. No.</t>
        </is>
      </c>
      <c r="AQ17" s="557" t="inlineStr">
        <is>
          <t>Description</t>
        </is>
      </c>
      <c r="AR17" s="484" t="n"/>
      <c r="AS17" s="146" t="inlineStr">
        <is>
          <t>Cycle Time (min)</t>
        </is>
      </c>
      <c r="AT17" s="147" t="inlineStr">
        <is>
          <t>No of m/cs / cell</t>
        </is>
      </c>
      <c r="AU17" s="147" t="inlineStr">
        <is>
          <t>Machine Cost (Rs. In L</t>
        </is>
      </c>
      <c r="AV17" s="147" t="inlineStr">
        <is>
          <t>No. of Cells</t>
        </is>
      </c>
      <c r="AW17" s="147" t="inlineStr">
        <is>
          <t>Amount (Rs. In L)</t>
        </is>
      </c>
    </row>
    <row r="18" ht="39" customHeight="1" s="517">
      <c r="B18" s="90" t="inlineStr">
        <is>
          <t>No.of Cavities  (Nos)</t>
        </is>
      </c>
      <c r="C18" s="113" t="n"/>
      <c r="D18" s="581" t="n"/>
      <c r="E18" s="581" t="n"/>
      <c r="F18" s="17" t="inlineStr">
        <is>
          <t>Die life (shots)</t>
        </is>
      </c>
      <c r="G18" s="148" t="n"/>
      <c r="I18" s="92" t="n"/>
      <c r="J18" s="72" t="inlineStr">
        <is>
          <t>Cutting 1</t>
        </is>
      </c>
      <c r="K18" s="94" t="n"/>
      <c r="L18" s="149" t="n"/>
      <c r="M18" s="583" t="n"/>
      <c r="N18" s="85" t="n"/>
      <c r="O18" s="556" t="n"/>
      <c r="P18" s="540" t="n"/>
      <c r="Q18" s="540" t="n"/>
      <c r="R18" s="541" t="n"/>
      <c r="S18" s="489" t="n"/>
      <c r="T18" s="6" t="n"/>
      <c r="U18" s="138" t="inlineStr">
        <is>
          <t>Connector &amp; Dowel ring Semi Auto assembly station-2</t>
        </is>
      </c>
      <c r="V18" s="139" t="n"/>
      <c r="W18" s="140" t="n"/>
      <c r="X18" s="150" t="n"/>
      <c r="Y18" s="141" t="n"/>
      <c r="Z18" s="142" t="n"/>
      <c r="AB18" s="64" t="n"/>
      <c r="AC18" s="551" t="inlineStr">
        <is>
          <t>TURNING CENTER- Diffuser &amp; Inlet M/cng (LT-20)</t>
        </is>
      </c>
      <c r="AD18" s="515" t="n"/>
      <c r="AE18" s="64" t="n"/>
      <c r="AF18" s="64" t="n"/>
      <c r="AG18" s="151" t="n"/>
      <c r="AH18" s="594" t="n"/>
      <c r="AI18" s="153">
        <f>AH18</f>
        <v/>
      </c>
      <c r="AJ18" s="595">
        <f>AI18*1.05/100</f>
        <v/>
      </c>
      <c r="AK18" s="7" t="n"/>
      <c r="AL18" s="155" t="inlineStr">
        <is>
          <t>Part weight</t>
        </is>
      </c>
      <c r="AM18" s="156">
        <f>AI13</f>
        <v/>
      </c>
      <c r="AP18" s="157" t="n"/>
      <c r="AQ18" s="500" t="n"/>
      <c r="AR18" s="484" t="n"/>
      <c r="AS18" s="596" t="n"/>
      <c r="AT18" s="159" t="n"/>
      <c r="AU18" s="160" t="n"/>
      <c r="AV18" s="161" t="n"/>
      <c r="AW18" s="162">
        <f>AT18*AV18*AU18</f>
        <v/>
      </c>
      <c r="AX18" s="163" t="n"/>
    </row>
    <row r="19" ht="39" customHeight="1" s="517">
      <c r="B19" s="90" t="inlineStr">
        <is>
          <t>Tonnage required</t>
        </is>
      </c>
      <c r="C19" s="113" t="n"/>
      <c r="D19" s="581" t="n"/>
      <c r="E19" s="581" t="n"/>
      <c r="F19" s="17" t="inlineStr">
        <is>
          <t>Die service consumables cost (Rs. In Lakhs)</t>
        </is>
      </c>
      <c r="G19" s="164" t="n"/>
      <c r="I19" s="92" t="n"/>
      <c r="J19" s="72" t="inlineStr">
        <is>
          <t>Cutting 2</t>
        </is>
      </c>
      <c r="K19" s="94" t="n"/>
      <c r="L19" s="149" t="n"/>
      <c r="M19" s="583" t="n"/>
      <c r="N19" s="85" t="n"/>
      <c r="O19" s="558" t="inlineStr">
        <is>
          <t>Type of shot blasting (Hanger type / AlO2/ Tumbling/ Vibro finishing)</t>
        </is>
      </c>
      <c r="P19" s="559" t="n"/>
      <c r="Q19" s="559" t="n"/>
      <c r="R19" s="560" t="n"/>
      <c r="S19" s="552" t="n"/>
      <c r="T19" s="6" t="n"/>
      <c r="U19" s="138" t="inlineStr">
        <is>
          <t>Nut runner</t>
        </is>
      </c>
      <c r="V19" s="139" t="n"/>
      <c r="W19" s="140" t="n"/>
      <c r="X19" s="150" t="n"/>
      <c r="Y19" s="141" t="n"/>
      <c r="Z19" s="142" t="n"/>
      <c r="AB19" s="64" t="n"/>
      <c r="AC19" s="5" t="inlineStr">
        <is>
          <t>TURNING CENTER- Diffuser &amp; Inlet M/cng (LT-20)</t>
        </is>
      </c>
      <c r="AD19" s="151" t="n"/>
      <c r="AE19" s="64" t="n"/>
      <c r="AF19" s="64" t="n"/>
      <c r="AG19" s="151" t="n"/>
      <c r="AH19" s="594" t="n"/>
      <c r="AI19" s="153">
        <f>AH19</f>
        <v/>
      </c>
      <c r="AJ19" s="595">
        <f>AI19*1.05/100</f>
        <v/>
      </c>
      <c r="AK19" s="7" t="n"/>
      <c r="AL19" s="165" t="inlineStr">
        <is>
          <t xml:space="preserve">Part wgt incl. packing </t>
        </is>
      </c>
      <c r="AM19" s="166">
        <f>AM18*1.1</f>
        <v/>
      </c>
      <c r="AP19" s="157" t="n"/>
      <c r="AQ19" s="500" t="n"/>
      <c r="AR19" s="484" t="n"/>
      <c r="AS19" s="596" t="n"/>
      <c r="AT19" s="159" t="n"/>
      <c r="AU19" s="160" t="n"/>
      <c r="AV19" s="161" t="n"/>
      <c r="AW19" s="162">
        <f>AT19*AV19*AU19</f>
        <v/>
      </c>
      <c r="AX19" s="163" t="n"/>
    </row>
    <row r="20" ht="36.75" customHeight="1" s="517">
      <c r="B20" s="90" t="inlineStr">
        <is>
          <t>Machine selected (Model &amp; Make)</t>
        </is>
      </c>
      <c r="C20" s="167" t="n"/>
      <c r="D20" s="168" t="n"/>
      <c r="E20" s="581" t="n"/>
      <c r="F20" s="17" t="inlineStr">
        <is>
          <t>Cast-in insert involved</t>
        </is>
      </c>
      <c r="G20" s="169" t="inlineStr">
        <is>
          <t>NA</t>
        </is>
      </c>
      <c r="I20" s="92" t="n"/>
      <c r="J20" s="72" t="inlineStr">
        <is>
          <t>Linishing</t>
        </is>
      </c>
      <c r="K20" s="94" t="n"/>
      <c r="L20" s="149" t="n"/>
      <c r="M20" s="583" t="n"/>
      <c r="N20" s="85" t="n"/>
      <c r="O20" s="556" t="n"/>
      <c r="P20" s="540" t="n"/>
      <c r="Q20" s="540" t="n"/>
      <c r="R20" s="541" t="n"/>
      <c r="S20" s="489" t="n"/>
      <c r="T20" s="6" t="n"/>
      <c r="U20" s="170" t="inlineStr">
        <is>
          <t>EOL - ZDM requirement</t>
        </is>
      </c>
      <c r="V20" s="139" t="n"/>
      <c r="W20" s="140" t="n"/>
      <c r="X20" s="150" t="n"/>
      <c r="Y20" s="141" t="n"/>
      <c r="Z20" s="142" t="n"/>
      <c r="AB20" s="64" t="n"/>
      <c r="AC20" s="171" t="inlineStr">
        <is>
          <t>TURNING CENTER- Outlet M/cng- SMALL, MEDIUM (LT-20)</t>
        </is>
      </c>
      <c r="AD20" s="151" t="n"/>
      <c r="AE20" s="64" t="n"/>
      <c r="AF20" s="64" t="n"/>
      <c r="AG20" s="151" t="n"/>
      <c r="AH20" s="594" t="n"/>
      <c r="AI20" s="153">
        <f>AH20</f>
        <v/>
      </c>
      <c r="AJ20" s="595">
        <f>AI20*1.05/100</f>
        <v/>
      </c>
      <c r="AK20" s="7" t="n"/>
      <c r="AL20" s="165" t="inlineStr">
        <is>
          <t>Logistics cost</t>
        </is>
      </c>
      <c r="AM20" s="166">
        <f>AM19*10.5</f>
        <v/>
      </c>
      <c r="AP20" s="157">
        <f>AP19+10</f>
        <v/>
      </c>
      <c r="AQ20" s="500" t="n"/>
      <c r="AR20" s="484" t="n"/>
      <c r="AS20" s="596" t="n"/>
      <c r="AT20" s="159" t="n"/>
      <c r="AU20" s="160" t="n"/>
      <c r="AV20" s="161" t="n"/>
      <c r="AW20" s="162">
        <f>AT20*AV20*AU20</f>
        <v/>
      </c>
      <c r="AX20" s="163" t="n"/>
    </row>
    <row r="21" ht="40.5" customHeight="1" s="517">
      <c r="B21" s="90" t="inlineStr">
        <is>
          <t>Cell capacity (Nos)</t>
        </is>
      </c>
      <c r="C21" s="172" t="n"/>
      <c r="D21" s="581" t="n"/>
      <c r="E21" s="581" t="n"/>
      <c r="F21" s="119" t="inlineStr">
        <is>
          <t>No of cast-in insert/ Part (Nos)</t>
        </is>
      </c>
      <c r="G21" s="173" t="n"/>
      <c r="I21" s="174" t="n"/>
      <c r="J21" s="122" t="inlineStr">
        <is>
          <t xml:space="preserve">Shot blasting </t>
        </is>
      </c>
      <c r="K21" s="122" t="n"/>
      <c r="L21" s="149" t="n"/>
      <c r="M21" s="583" t="n"/>
      <c r="N21" s="597" t="n"/>
      <c r="O21" s="176" t="inlineStr">
        <is>
          <t>Surface coating involved (if any)</t>
        </is>
      </c>
      <c r="P21" s="122" t="n"/>
      <c r="Q21" s="122" t="n"/>
      <c r="R21" s="122" t="n"/>
      <c r="S21" s="177" t="n"/>
      <c r="T21" s="6" t="n"/>
      <c r="U21" s="138" t="inlineStr">
        <is>
          <t>Rivetting Machine / Fixture</t>
        </is>
      </c>
      <c r="V21" s="139" t="n"/>
      <c r="W21" s="140" t="n"/>
      <c r="X21" s="140" t="n"/>
      <c r="Y21" s="141" t="n"/>
      <c r="Z21" s="142" t="n"/>
      <c r="AB21" s="64" t="n"/>
      <c r="AC21" s="171" t="inlineStr">
        <is>
          <t>VMC 450 &amp; 5th AXIS - WTH ROTARY TABLE, XYZ600x450x500, TS-900 X 450</t>
        </is>
      </c>
      <c r="AD21" s="151" t="n"/>
      <c r="AE21" s="64" t="n"/>
      <c r="AF21" s="64" t="n"/>
      <c r="AG21" s="151" t="n"/>
      <c r="AH21" s="64" t="n"/>
      <c r="AI21" s="153">
        <f>AH21</f>
        <v/>
      </c>
      <c r="AJ21" s="595">
        <f>AI21*1.05/100</f>
        <v/>
      </c>
      <c r="AK21" s="7" t="n"/>
      <c r="AL21" s="165" t="n"/>
      <c r="AM21" s="598" t="n"/>
      <c r="AP21" s="157">
        <f>AP20+10</f>
        <v/>
      </c>
      <c r="AQ21" s="500" t="n"/>
      <c r="AR21" s="484" t="n"/>
      <c r="AS21" s="596" t="n"/>
      <c r="AT21" s="159" t="n"/>
      <c r="AU21" s="160" t="n"/>
      <c r="AV21" s="161" t="n"/>
      <c r="AW21" s="162">
        <f>AT21*AV21*AU21</f>
        <v/>
      </c>
      <c r="AX21" s="163" t="n"/>
    </row>
    <row r="22" ht="39" customHeight="1" s="517">
      <c r="B22" s="90" t="inlineStr">
        <is>
          <t>Machine Utilization    (%)</t>
        </is>
      </c>
      <c r="C22" s="599" t="n"/>
      <c r="D22" s="180" t="n"/>
      <c r="E22" s="581" t="n"/>
      <c r="F22" s="494" t="inlineStr">
        <is>
          <t>CYCLE TIME DATA</t>
        </is>
      </c>
      <c r="G22" s="495" t="n"/>
      <c r="I22" s="134" t="n"/>
      <c r="J22" s="181" t="inlineStr">
        <is>
          <t>Capital Investments (Rs. Lac)</t>
        </is>
      </c>
      <c r="K22" s="157" t="inlineStr">
        <is>
          <t>Utilisation%</t>
        </is>
      </c>
      <c r="L22" s="157" t="inlineStr">
        <is>
          <t>No of M/cs/ No of Units</t>
        </is>
      </c>
      <c r="M22" s="157" t="inlineStr">
        <is>
          <t>Amount /cell</t>
        </is>
      </c>
      <c r="N22" s="182" t="inlineStr">
        <is>
          <t>Rs. In L</t>
        </is>
      </c>
      <c r="O22" s="60" t="inlineStr">
        <is>
          <t>Dep%</t>
        </is>
      </c>
      <c r="P22" s="7" t="n"/>
      <c r="Q22" s="181" t="inlineStr">
        <is>
          <t>Operating cost with Inflation</t>
        </is>
      </c>
      <c r="R22" s="183" t="n"/>
      <c r="S22" s="157" t="inlineStr">
        <is>
          <t>Amount (Rs.) in L</t>
        </is>
      </c>
      <c r="T22" s="60" t="inlineStr">
        <is>
          <t>Dep%</t>
        </is>
      </c>
      <c r="U22" s="138" t="n"/>
      <c r="V22" s="139" t="n"/>
      <c r="W22" s="140" t="n"/>
      <c r="X22" s="140" t="n"/>
      <c r="Y22" s="184" t="n"/>
      <c r="Z22" s="142" t="n"/>
      <c r="AB22" s="64">
        <f>AB19+10</f>
        <v/>
      </c>
      <c r="AC22" s="5" t="inlineStr">
        <is>
          <t xml:space="preserve">washing machine </t>
        </is>
      </c>
      <c r="AD22" s="151" t="n"/>
      <c r="AE22" s="64" t="n"/>
      <c r="AF22" s="64" t="n"/>
      <c r="AG22" s="151" t="n"/>
      <c r="AH22" s="594" t="n"/>
      <c r="AI22" s="153">
        <f>AH22</f>
        <v/>
      </c>
      <c r="AJ22" s="595">
        <f>AI22*1.05/100</f>
        <v/>
      </c>
      <c r="AK22" s="7" t="n"/>
      <c r="AL22" s="165" t="n"/>
      <c r="AM22" s="598" t="n"/>
      <c r="AP22" s="157">
        <f>AP21+10</f>
        <v/>
      </c>
      <c r="AQ22" s="500" t="n"/>
      <c r="AR22" s="484" t="n"/>
      <c r="AS22" s="596" t="n"/>
      <c r="AT22" s="159" t="n"/>
      <c r="AU22" s="160" t="n"/>
      <c r="AV22" s="161" t="n"/>
      <c r="AW22" s="162">
        <f>AT22*AV22*AU22</f>
        <v/>
      </c>
      <c r="AX22" s="163" t="n"/>
    </row>
    <row r="23" ht="27" customHeight="1" s="517">
      <c r="B23" s="90" t="inlineStr">
        <is>
          <t>Number of Machines  (Nos)</t>
        </is>
      </c>
      <c r="C23" s="172" t="n"/>
      <c r="D23" s="581" t="n"/>
      <c r="E23" s="581" t="n"/>
      <c r="F23" s="555" t="inlineStr">
        <is>
          <t>Cycle Time (Sec)
(includes Die Opening, Spray Dycote (FD), Core out &amp; ejection, Pick Casting, Visual check &amp; placeon table, Spray Dycote (MD), Core in, Die close, Plunger tip Lubrication, Pick up Metal &amp; Pour, Inj. time s1 &amp; laddle back, Injection, Solidification &amp; Die open &amp;compt extraction sequentially)</t>
        </is>
      </c>
      <c r="G23" s="185" t="n"/>
      <c r="I23" s="490" t="inlineStr">
        <is>
          <t>Sand core</t>
        </is>
      </c>
      <c r="J23" s="510" t="inlineStr">
        <is>
          <t>Core shooting M/c</t>
        </is>
      </c>
      <c r="K23" s="187" t="n"/>
      <c r="L23" s="487" t="n"/>
      <c r="M23" s="600" t="n"/>
      <c r="N23" s="189" t="n"/>
      <c r="O23" s="190" t="n"/>
      <c r="P23" s="490" t="inlineStr">
        <is>
          <t>Sand core</t>
        </is>
      </c>
      <c r="Q23" s="510" t="inlineStr">
        <is>
          <t>Dressing Station</t>
        </is>
      </c>
      <c r="R23" s="503" t="n"/>
      <c r="S23" s="600" t="n"/>
      <c r="T23" s="6" t="n"/>
      <c r="U23" s="191" t="inlineStr">
        <is>
          <t>Other Accessories (if any)</t>
        </is>
      </c>
      <c r="V23" s="192" t="n"/>
      <c r="W23" s="193" t="n"/>
      <c r="X23" s="194" t="n"/>
      <c r="Y23" s="184" t="n"/>
      <c r="Z23" s="142" t="n"/>
      <c r="AB23" s="64">
        <f>AB22+10</f>
        <v/>
      </c>
      <c r="AC23" s="5" t="inlineStr">
        <is>
          <t>DRY CUM WET LEAK TEST</t>
        </is>
      </c>
      <c r="AD23" s="151" t="n"/>
      <c r="AE23" s="64" t="n"/>
      <c r="AF23" s="64" t="n"/>
      <c r="AG23" s="151" t="n"/>
      <c r="AH23" s="594" t="n"/>
      <c r="AI23" s="153">
        <f>AH23</f>
        <v/>
      </c>
      <c r="AJ23" s="595">
        <f>AI23*1.05/100</f>
        <v/>
      </c>
      <c r="AK23" s="7" t="n"/>
      <c r="AL23" s="195" t="inlineStr">
        <is>
          <t>Logistics + warehouse</t>
        </is>
      </c>
      <c r="AM23" s="196">
        <f>AM20*1.02</f>
        <v/>
      </c>
      <c r="AP23" s="157">
        <f>AP22+10</f>
        <v/>
      </c>
      <c r="AQ23" s="500" t="n"/>
      <c r="AR23" s="484" t="n"/>
      <c r="AS23" s="596" t="n"/>
      <c r="AT23" s="159" t="n"/>
      <c r="AU23" s="160" t="n"/>
      <c r="AV23" s="161" t="n"/>
      <c r="AW23" s="162">
        <f>AT23*AV23*AU23</f>
        <v/>
      </c>
      <c r="AX23" s="163" t="n"/>
    </row>
    <row r="24" ht="16.5" customHeight="1" s="517">
      <c r="B24" s="197" t="inlineStr">
        <is>
          <t>Others (if any)</t>
        </is>
      </c>
      <c r="C24" s="198" t="n"/>
      <c r="D24" s="198" t="inlineStr">
        <is>
          <t>-</t>
        </is>
      </c>
      <c r="E24" s="199" t="n"/>
      <c r="F24" s="516" t="n"/>
      <c r="G24" s="200" t="n"/>
      <c r="I24" s="488" t="n"/>
      <c r="J24" s="492" t="inlineStr">
        <is>
          <t>Core Painting Oven (if any)</t>
        </is>
      </c>
      <c r="K24" s="601" t="n"/>
      <c r="L24" s="489" t="n"/>
      <c r="M24" s="600" t="n"/>
      <c r="N24" s="189" t="inlineStr">
        <is>
          <t>-</t>
        </is>
      </c>
      <c r="O24" s="190" t="n"/>
      <c r="P24" s="488" t="n"/>
      <c r="Q24" s="492" t="inlineStr">
        <is>
          <t>Core Painting Station</t>
        </is>
      </c>
      <c r="R24" s="493" t="n"/>
      <c r="S24" s="600" t="n"/>
      <c r="T24" s="6" t="n"/>
      <c r="U24" s="170" t="inlineStr">
        <is>
          <t>Total Assembly Investment</t>
        </is>
      </c>
      <c r="V24" s="203" t="n"/>
      <c r="W24" s="204">
        <f>SUM(W17:W23)</f>
        <v/>
      </c>
      <c r="X24" s="205">
        <f>SUM(X17:X23)</f>
        <v/>
      </c>
      <c r="Y24" s="206" t="n"/>
      <c r="Z24" s="142" t="n"/>
      <c r="AB24" s="64">
        <f>AB23+10</f>
        <v/>
      </c>
      <c r="AC24" s="5" t="inlineStr">
        <is>
          <t>Laser marking with 2D scanner</t>
        </is>
      </c>
      <c r="AD24" s="151" t="n"/>
      <c r="AE24" s="64" t="n"/>
      <c r="AF24" s="64" t="n"/>
      <c r="AG24" s="151" t="n"/>
      <c r="AH24" s="594" t="n"/>
      <c r="AI24" s="153">
        <f>AH24</f>
        <v/>
      </c>
      <c r="AJ24" s="595">
        <f>AI24*1.05/100</f>
        <v/>
      </c>
      <c r="AK24" s="7" t="n"/>
      <c r="AL24" s="7" t="n"/>
      <c r="AM24" s="8" t="n"/>
      <c r="AP24" s="157">
        <f>AP23+10</f>
        <v/>
      </c>
      <c r="AQ24" s="500" t="n"/>
      <c r="AR24" s="484" t="n"/>
      <c r="AS24" s="596" t="n"/>
      <c r="AT24" s="159" t="n"/>
      <c r="AU24" s="160" t="n"/>
      <c r="AV24" s="161" t="n"/>
      <c r="AW24" s="162">
        <f>AT24*AV24*AU24</f>
        <v/>
      </c>
      <c r="AX24" s="163" t="n"/>
    </row>
    <row r="25" ht="16.5" customHeight="1" s="517">
      <c r="B25" s="207" t="inlineStr">
        <is>
          <t xml:space="preserve">INVESTMENT DETAILS (Cost Rs. Lac)                </t>
        </is>
      </c>
      <c r="C25" s="553" t="inlineStr">
        <is>
          <t xml:space="preserve">Capital          </t>
        </is>
      </c>
      <c r="D25" s="483" t="n"/>
      <c r="E25" s="60" t="inlineStr">
        <is>
          <t>Dep%</t>
        </is>
      </c>
      <c r="F25" s="516" t="n"/>
      <c r="G25" s="208" t="n"/>
      <c r="I25" s="488" t="n"/>
      <c r="J25" s="492" t="inlineStr">
        <is>
          <t>Thermal Decoring M/c</t>
        </is>
      </c>
      <c r="K25" s="209" t="n"/>
      <c r="L25" s="542" t="n"/>
      <c r="M25" s="601" t="n"/>
      <c r="N25" s="189" t="inlineStr">
        <is>
          <t>-</t>
        </is>
      </c>
      <c r="O25" s="190" t="n"/>
      <c r="P25" s="488" t="n"/>
      <c r="Q25" s="492" t="inlineStr">
        <is>
          <t>Core Handling Crates &amp; Trolleys</t>
        </is>
      </c>
      <c r="R25" s="493" t="n"/>
      <c r="S25" s="600" t="n"/>
      <c r="T25" s="6" t="n"/>
      <c r="U25" s="210" t="inlineStr">
        <is>
          <t>Total Assembly Investment for all cells</t>
        </is>
      </c>
      <c r="V25" s="11" t="n"/>
      <c r="W25" s="211">
        <f>IF((W14&gt;=1),(W24*W14),0)</f>
        <v/>
      </c>
      <c r="X25" s="205">
        <f>IF((X14&gt;=1),(X24*X14),0)</f>
        <v/>
      </c>
      <c r="Y25" s="212" t="n"/>
      <c r="Z25" s="142" t="n"/>
      <c r="AB25" s="64" t="n"/>
      <c r="AC25" s="5" t="inlineStr">
        <is>
          <t>final inspection small</t>
        </is>
      </c>
      <c r="AD25" s="151" t="n"/>
      <c r="AE25" s="64" t="n"/>
      <c r="AF25" s="64" t="n"/>
      <c r="AG25" s="151" t="n"/>
      <c r="AH25" s="594" t="n"/>
      <c r="AI25" s="153">
        <f>AH25</f>
        <v/>
      </c>
      <c r="AJ25" s="595">
        <f>AI25*1.05/100</f>
        <v/>
      </c>
      <c r="AK25" s="7" t="n"/>
      <c r="AL25" s="7" t="inlineStr">
        <is>
          <t>TCL - Jhamshedpur - Rate</t>
        </is>
      </c>
      <c r="AM25" s="8" t="n"/>
      <c r="AP25" s="157">
        <f>AP24+10</f>
        <v/>
      </c>
      <c r="AQ25" s="500" t="n"/>
      <c r="AR25" s="484" t="n"/>
      <c r="AS25" s="596" t="n"/>
      <c r="AT25" s="159" t="n"/>
      <c r="AU25" s="160" t="n"/>
      <c r="AV25" s="161" t="n"/>
      <c r="AW25" s="162">
        <f>AT25*AV25*AU25</f>
        <v/>
      </c>
      <c r="AX25" s="163" t="n"/>
    </row>
    <row r="26" ht="15.75" customHeight="1" s="517">
      <c r="B26" s="213" t="inlineStr">
        <is>
          <t>Casting Machine + X Ray Machine cost</t>
        </is>
      </c>
      <c r="C26" s="529" t="n"/>
      <c r="D26" s="215" t="n"/>
      <c r="E26" s="216" t="n"/>
      <c r="F26" s="556" t="n"/>
      <c r="G26" s="217" t="n"/>
      <c r="I26" s="488" t="n"/>
      <c r="J26" s="496" t="inlineStr">
        <is>
          <t>Crane to handle basket</t>
        </is>
      </c>
      <c r="K26" s="601" t="n"/>
      <c r="L26" s="489" t="n"/>
      <c r="M26" s="601" t="n"/>
      <c r="N26" s="189" t="inlineStr">
        <is>
          <t>-</t>
        </is>
      </c>
      <c r="O26" s="190" t="n"/>
      <c r="P26" s="488" t="n"/>
      <c r="Q26" s="492" t="inlineStr">
        <is>
          <t>Core Handling Trolleys</t>
        </is>
      </c>
      <c r="R26" s="493" t="n"/>
      <c r="S26" s="601" t="n"/>
      <c r="T26" s="6" t="n"/>
      <c r="U26" s="170" t="n"/>
      <c r="V26" s="219" t="n"/>
      <c r="W26" s="220" t="n"/>
      <c r="X26" s="220" t="n"/>
      <c r="Y26" s="221" t="n"/>
      <c r="Z26" s="142" t="n"/>
      <c r="AB26" s="64">
        <f>AB25+10</f>
        <v/>
      </c>
      <c r="AD26" s="151" t="n"/>
      <c r="AE26" s="64" t="n"/>
      <c r="AF26" s="64" t="n"/>
      <c r="AG26" s="151" t="n"/>
      <c r="AH26" s="594" t="n"/>
      <c r="AI26" s="153">
        <f>AH26</f>
        <v/>
      </c>
      <c r="AJ26" s="595">
        <f>AI26*1.05/100</f>
        <v/>
      </c>
      <c r="AK26" s="7" t="n"/>
      <c r="AL26" s="7" t="inlineStr">
        <is>
          <t>parts/box</t>
        </is>
      </c>
      <c r="AM26" s="8">
        <f>'[1] Cost template'!BB39</f>
        <v/>
      </c>
      <c r="AP26" s="157">
        <f>AP25+10</f>
        <v/>
      </c>
      <c r="AQ26" s="500" t="n"/>
      <c r="AR26" s="484" t="n"/>
      <c r="AS26" s="596" t="n"/>
      <c r="AT26" s="159" t="n"/>
      <c r="AU26" s="160" t="n"/>
      <c r="AV26" s="161" t="n"/>
      <c r="AW26" s="162">
        <f>AT26*AV26*AU26</f>
        <v/>
      </c>
      <c r="AX26" s="163" t="n"/>
    </row>
    <row r="27" ht="35.25" customHeight="1" s="517">
      <c r="B27" s="222" t="inlineStr">
        <is>
          <t>Post casting facilities
(Includes Cooling trolly, Degating tool, Fixtures, Gauges, Cell formation, Sh/ blasting hangers, Storage etc)</t>
        </is>
      </c>
      <c r="C27" s="529" t="n"/>
      <c r="D27" s="223" t="n"/>
      <c r="E27" s="224" t="n"/>
      <c r="F27" s="225" t="inlineStr">
        <is>
          <t>Casting Output / Hr (Nos)</t>
        </is>
      </c>
      <c r="G27" s="148">
        <f>+IFERROR((60*60*C18)/G24,0)</f>
        <v/>
      </c>
      <c r="I27" s="491" t="n"/>
      <c r="J27" s="521" t="inlineStr">
        <is>
          <t>Vibro Decoring Machine</t>
        </is>
      </c>
      <c r="K27" s="227" t="n"/>
      <c r="L27" s="524" t="n"/>
      <c r="M27" s="602" t="n"/>
      <c r="N27" s="189" t="n"/>
      <c r="O27" s="190" t="n"/>
      <c r="P27" s="488" t="n"/>
      <c r="Q27" s="496" t="inlineStr">
        <is>
          <t>Thermal decoring Basket</t>
        </is>
      </c>
      <c r="R27" s="493" t="n"/>
      <c r="S27" s="601" t="n"/>
      <c r="T27" s="6" t="n"/>
      <c r="U27" s="230" t="inlineStr">
        <is>
          <t>Sealant consumption/ part (if any) (ml)</t>
        </is>
      </c>
      <c r="V27" s="231" t="n"/>
      <c r="W27" s="231" t="n"/>
      <c r="X27" s="603" t="n"/>
      <c r="Y27" s="604" t="n"/>
      <c r="Z27" s="142" t="n"/>
      <c r="AB27" s="64">
        <f>AB26+10</f>
        <v/>
      </c>
      <c r="AC27" s="5" t="inlineStr">
        <is>
          <t>ENDOSCOPE STATION</t>
        </is>
      </c>
      <c r="AD27" s="151" t="n"/>
      <c r="AE27" s="64" t="n"/>
      <c r="AF27" s="64" t="n"/>
      <c r="AG27" s="151" t="n"/>
      <c r="AH27" s="64" t="n"/>
      <c r="AI27" s="153">
        <f>AH27</f>
        <v/>
      </c>
      <c r="AJ27" s="595">
        <f>AI27*1.05/100</f>
        <v/>
      </c>
      <c r="AK27" s="7" t="n"/>
      <c r="AL27" s="7" t="inlineStr">
        <is>
          <t>No of box</t>
        </is>
      </c>
      <c r="AM27" s="8">
        <f>(AM26*30)</f>
        <v/>
      </c>
      <c r="AP27" s="157">
        <f>AP26+10</f>
        <v/>
      </c>
      <c r="AQ27" s="500" t="n"/>
      <c r="AR27" s="484" t="n"/>
      <c r="AS27" s="596" t="n"/>
      <c r="AT27" s="234" t="n"/>
      <c r="AU27" s="235" t="n"/>
      <c r="AV27" s="161" t="n"/>
      <c r="AW27" s="162">
        <f>AT27*AV27*AU27</f>
        <v/>
      </c>
      <c r="AX27" s="163" t="n"/>
    </row>
    <row r="28" ht="17.25" customHeight="1" s="517">
      <c r="B28" s="236" t="inlineStr">
        <is>
          <t>Spray Head</t>
        </is>
      </c>
      <c r="C28" s="529" t="n"/>
      <c r="D28" s="529" t="n"/>
      <c r="E28" s="237" t="n"/>
      <c r="F28" s="532" t="inlineStr">
        <is>
          <t>TESTING COST DETAILS                       (Cost in  Rs. Only )</t>
        </is>
      </c>
      <c r="G28" s="495" t="n"/>
      <c r="I28" s="490" t="inlineStr">
        <is>
          <t>Casting</t>
        </is>
      </c>
      <c r="J28" s="510" t="inlineStr">
        <is>
          <t>Tilting Machine</t>
        </is>
      </c>
      <c r="K28" s="187" t="n"/>
      <c r="L28" s="487" t="n"/>
      <c r="M28" s="600" t="n"/>
      <c r="N28" s="189" t="inlineStr">
        <is>
          <t>-</t>
        </is>
      </c>
      <c r="O28" s="190" t="n"/>
      <c r="P28" s="488" t="n"/>
      <c r="Q28" s="492" t="inlineStr">
        <is>
          <t xml:space="preserve">Vibro Decoring Hammer </t>
        </is>
      </c>
      <c r="R28" s="493" t="n"/>
      <c r="S28" s="601" t="n"/>
      <c r="T28" s="6" t="n"/>
      <c r="U28" s="238" t="inlineStr">
        <is>
          <t>Power rating (Kw/hr)</t>
        </is>
      </c>
      <c r="V28" s="239" t="n"/>
      <c r="W28" s="239" t="n"/>
      <c r="X28" s="605" t="n"/>
      <c r="Y28" s="606" t="n"/>
      <c r="Z28" s="142" t="n"/>
      <c r="AB28" s="64">
        <f>AB27+10</f>
        <v/>
      </c>
      <c r="AD28" s="151" t="n"/>
      <c r="AE28" s="64" t="n"/>
      <c r="AF28" s="64" t="n"/>
      <c r="AG28" s="151" t="n"/>
      <c r="AH28" s="64" t="n"/>
      <c r="AI28" s="153">
        <f>AH28</f>
        <v/>
      </c>
      <c r="AJ28" s="595">
        <f>AI28*1.05/100</f>
        <v/>
      </c>
      <c r="AK28" s="7" t="n"/>
      <c r="AL28" s="7" t="inlineStr">
        <is>
          <t>Logistics</t>
        </is>
      </c>
      <c r="AM28" s="8">
        <f>AM25/AM27</f>
        <v/>
      </c>
      <c r="AP28" s="157">
        <f>AP27+10</f>
        <v/>
      </c>
      <c r="AQ28" s="500" t="n"/>
      <c r="AR28" s="484" t="n"/>
      <c r="AS28" s="596" t="n"/>
      <c r="AT28" s="234" t="n"/>
      <c r="AU28" s="235" t="n"/>
      <c r="AV28" s="161" t="n"/>
      <c r="AW28" s="162">
        <f>AT28*AV28*AU28</f>
        <v/>
      </c>
      <c r="AX28" s="163" t="n"/>
    </row>
    <row r="29" ht="25.5" customHeight="1" s="517">
      <c r="B29" s="236" t="inlineStr">
        <is>
          <t>Vacuum attachment</t>
        </is>
      </c>
      <c r="C29" s="529" t="n"/>
      <c r="D29" s="529" t="n"/>
      <c r="E29" s="237" t="n"/>
      <c r="F29" s="242" t="inlineStr">
        <is>
          <t>Chemical Testing cost/ part</t>
        </is>
      </c>
      <c r="G29" s="243" t="n"/>
      <c r="I29" s="488" t="n"/>
      <c r="J29" s="492" t="inlineStr">
        <is>
          <t>Vertical Machine</t>
        </is>
      </c>
      <c r="K29" s="209" t="n"/>
      <c r="L29" s="488" t="n"/>
      <c r="M29" s="601" t="n"/>
      <c r="N29" s="244" t="n"/>
      <c r="O29" s="190" t="n"/>
      <c r="P29" s="491" t="n"/>
      <c r="Q29" s="521" t="inlineStr">
        <is>
          <t>Vibro Decoring Fixture</t>
        </is>
      </c>
      <c r="R29" s="522" t="n"/>
      <c r="S29" s="602" t="n"/>
      <c r="T29" s="6" t="n"/>
      <c r="U29" s="245" t="inlineStr">
        <is>
          <t>Is it feasible to use M/cng operator for assembly (Yes / No)</t>
        </is>
      </c>
      <c r="V29" s="482" t="n"/>
      <c r="W29" s="482" t="n"/>
      <c r="X29" s="247" t="n"/>
      <c r="Y29" s="248" t="n"/>
      <c r="Z29" s="142" t="n"/>
      <c r="AB29" s="64">
        <f>AB28+10</f>
        <v/>
      </c>
      <c r="AD29" s="151" t="n"/>
      <c r="AE29" s="64" t="n"/>
      <c r="AF29" s="64" t="n"/>
      <c r="AG29" s="151" t="n"/>
      <c r="AH29" s="64" t="n"/>
      <c r="AI29" s="153">
        <f>AH29</f>
        <v/>
      </c>
      <c r="AJ29" s="595">
        <f>AI29*1.05/100</f>
        <v/>
      </c>
      <c r="AK29" s="7" t="n"/>
      <c r="AL29" s="7" t="n"/>
      <c r="AM29" s="8" t="n"/>
      <c r="AP29" s="157">
        <f>AP28+10</f>
        <v/>
      </c>
      <c r="AQ29" s="486" t="n"/>
      <c r="AR29" s="484" t="n"/>
      <c r="AS29" s="607" t="n"/>
      <c r="AT29" s="250" t="n"/>
      <c r="AU29" s="251" t="n"/>
      <c r="AV29" s="161" t="n"/>
      <c r="AW29" s="162">
        <f>AU29*AV29</f>
        <v/>
      </c>
      <c r="AX29" s="163" t="n"/>
    </row>
    <row r="30" ht="18.75" customHeight="1" s="517">
      <c r="B30" s="236" t="inlineStr">
        <is>
          <t>Thermo regulation</t>
        </is>
      </c>
      <c r="C30" s="529" t="n"/>
      <c r="D30" s="529" t="n"/>
      <c r="E30" s="237" t="n"/>
      <c r="F30" s="252" t="inlineStr">
        <is>
          <t>X Ray Testing cost / part</t>
        </is>
      </c>
      <c r="G30" s="243" t="n"/>
      <c r="I30" s="488" t="n"/>
      <c r="J30" s="492" t="inlineStr">
        <is>
          <t>Stand type Machine</t>
        </is>
      </c>
      <c r="K30" s="209" t="n"/>
      <c r="L30" s="488" t="n"/>
      <c r="M30" s="601" t="n"/>
      <c r="N30" s="189" t="inlineStr">
        <is>
          <t>-</t>
        </is>
      </c>
      <c r="O30" s="190" t="n"/>
      <c r="P30" s="490" t="inlineStr">
        <is>
          <t>Casting</t>
        </is>
      </c>
      <c r="Q30" s="510" t="inlineStr">
        <is>
          <t>Casting Table</t>
        </is>
      </c>
      <c r="R30" s="503" t="n"/>
      <c r="S30" s="601" t="n"/>
      <c r="T30" s="6" t="n"/>
      <c r="U30" s="238" t="inlineStr">
        <is>
          <t>Manpower / shift/ cell</t>
        </is>
      </c>
      <c r="V30" s="239" t="n"/>
      <c r="W30" s="482" t="n"/>
      <c r="X30" s="605" t="n"/>
      <c r="Y30" s="606" t="n"/>
      <c r="Z30" s="142" t="n"/>
      <c r="AB30" s="64">
        <f>AB29+10</f>
        <v/>
      </c>
      <c r="AD30" s="557" t="n"/>
      <c r="AE30" s="64" t="n"/>
      <c r="AF30" s="64" t="n"/>
      <c r="AG30" s="557" t="n"/>
      <c r="AH30" s="557" t="n"/>
      <c r="AI30" s="153">
        <f>AH30</f>
        <v/>
      </c>
      <c r="AJ30" s="595">
        <f>AI30*1.05/100</f>
        <v/>
      </c>
      <c r="AK30" s="7" t="n"/>
      <c r="AL30" s="7" t="n"/>
      <c r="AM30" s="8" t="n"/>
      <c r="AP30" s="157">
        <f>AP29+10</f>
        <v/>
      </c>
      <c r="AQ30" s="486" t="n"/>
      <c r="AR30" s="484" t="n"/>
      <c r="AS30" s="607" t="n"/>
      <c r="AT30" s="250" t="n"/>
      <c r="AU30" s="251" t="n"/>
      <c r="AV30" s="161" t="n"/>
      <c r="AW30" s="162">
        <f>AU30*AV30</f>
        <v/>
      </c>
      <c r="AX30" s="163" t="n"/>
    </row>
    <row r="31" ht="13.5" customHeight="1" s="517">
      <c r="B31" s="236" t="inlineStr">
        <is>
          <t>Jet cooling</t>
        </is>
      </c>
      <c r="C31" s="529" t="n"/>
      <c r="D31" s="529" t="n"/>
      <c r="E31" s="237" t="n"/>
      <c r="F31" s="17" t="inlineStr">
        <is>
          <t>Porosity Testing cost / part</t>
        </is>
      </c>
      <c r="G31" s="243" t="n"/>
      <c r="I31" s="488" t="n"/>
      <c r="J31" s="492" t="inlineStr">
        <is>
          <t>Hydraulic Power Pack</t>
        </is>
      </c>
      <c r="K31" s="601" t="n"/>
      <c r="L31" s="489" t="n"/>
      <c r="M31" s="602" t="n"/>
      <c r="N31" s="189" t="n"/>
      <c r="O31" s="190" t="n"/>
      <c r="P31" s="488" t="n"/>
      <c r="Q31" s="492" t="inlineStr">
        <is>
          <t>Casting &amp; Sand collection Trolley</t>
        </is>
      </c>
      <c r="R31" s="493" t="n"/>
      <c r="S31" s="601" t="n"/>
      <c r="T31" s="6" t="n"/>
      <c r="U31" s="253" t="inlineStr">
        <is>
          <t>Floor space required for assembly station (Sq.m/ cell)</t>
        </is>
      </c>
      <c r="V31" s="254" t="n"/>
      <c r="W31" s="254" t="n"/>
      <c r="X31" s="605" t="n"/>
      <c r="Y31" s="608" t="n"/>
      <c r="Z31" s="142" t="n"/>
      <c r="AB31" s="557" t="n"/>
      <c r="AC31" s="557" t="n"/>
      <c r="AD31" s="557" t="n"/>
      <c r="AE31" s="557" t="n"/>
      <c r="AF31" s="557" t="n"/>
      <c r="AG31" s="557" t="n"/>
      <c r="AH31" s="557" t="n"/>
      <c r="AI31" s="153" t="n"/>
      <c r="AJ31" s="7" t="n"/>
      <c r="AK31" s="7" t="n"/>
      <c r="AL31" s="7" t="n"/>
      <c r="AM31" s="8" t="n"/>
      <c r="AP31" s="157">
        <f>AP30+10</f>
        <v/>
      </c>
      <c r="AQ31" s="486" t="n"/>
      <c r="AR31" s="484" t="n"/>
      <c r="AS31" s="607" t="n"/>
      <c r="AT31" s="250" t="n"/>
      <c r="AU31" s="251" t="n"/>
      <c r="AV31" s="161" t="n"/>
      <c r="AW31" s="162">
        <f>AU31*AV31</f>
        <v/>
      </c>
      <c r="AX31" s="163" t="n"/>
    </row>
    <row r="32" ht="13.5" customHeight="1" s="517">
      <c r="B32" s="236" t="inlineStr">
        <is>
          <t>Pump cooling</t>
        </is>
      </c>
      <c r="C32" s="489" t="n"/>
      <c r="D32" s="529" t="n"/>
      <c r="E32" s="237" t="n"/>
      <c r="F32" s="17" t="inlineStr">
        <is>
          <t>Microstructure Testing cost / part</t>
        </is>
      </c>
      <c r="G32" s="243" t="n"/>
      <c r="I32" s="491" t="n"/>
      <c r="J32" s="521" t="inlineStr">
        <is>
          <t>Holding furnace</t>
        </is>
      </c>
      <c r="K32" s="602" t="n"/>
      <c r="L32" s="524" t="n"/>
      <c r="M32" s="602" t="n"/>
      <c r="N32" s="189" t="n"/>
      <c r="O32" s="190" t="n"/>
      <c r="P32" s="491" t="n"/>
      <c r="Q32" s="521" t="inlineStr">
        <is>
          <t>Furnace Dross, Rejection trolley &amp; Ladle set</t>
        </is>
      </c>
      <c r="R32" s="522" t="n"/>
      <c r="S32" s="601" t="n"/>
      <c r="T32" s="6" t="n"/>
      <c r="U32" s="256" t="n"/>
      <c r="V32" s="257" t="n"/>
      <c r="W32" s="258" t="n"/>
      <c r="X32" s="258" t="n"/>
      <c r="Y32" s="259" t="n"/>
      <c r="Z32" s="142" t="n"/>
      <c r="AB32" s="557" t="n"/>
      <c r="AC32" s="557" t="n"/>
      <c r="AD32" s="557" t="n"/>
      <c r="AE32" s="557" t="n"/>
      <c r="AF32" s="557" t="n"/>
      <c r="AG32" s="557" t="n"/>
      <c r="AH32" s="557" t="n"/>
      <c r="AI32" s="153" t="n"/>
      <c r="AJ32" s="7" t="n"/>
      <c r="AK32" s="7" t="n"/>
      <c r="AL32" s="7" t="n"/>
      <c r="AM32" s="8" t="n"/>
      <c r="AP32" s="157">
        <f>AP31+10</f>
        <v/>
      </c>
      <c r="AQ32" s="486" t="n"/>
      <c r="AR32" s="484" t="n"/>
      <c r="AS32" s="607" t="n"/>
      <c r="AT32" s="250" t="n"/>
      <c r="AU32" s="251" t="n"/>
      <c r="AV32" s="161" t="n"/>
      <c r="AW32" s="162">
        <f>AU32*AV32</f>
        <v/>
      </c>
      <c r="AX32" s="163" t="n"/>
    </row>
    <row r="33" ht="15" customHeight="1" s="517">
      <c r="B33" s="236" t="inlineStr">
        <is>
          <t>Bend removal press / fixture / tool</t>
        </is>
      </c>
      <c r="C33" s="529" t="n"/>
      <c r="D33" s="260" t="n"/>
      <c r="E33" s="237" t="n"/>
      <c r="F33" s="17" t="inlineStr">
        <is>
          <t>Hardness Testing cost / part</t>
        </is>
      </c>
      <c r="G33" s="243" t="n"/>
      <c r="I33" s="490" t="inlineStr">
        <is>
          <t>Post casting</t>
        </is>
      </c>
      <c r="J33" s="510" t="inlineStr">
        <is>
          <t>Band saw machine</t>
        </is>
      </c>
      <c r="K33" s="187" t="n"/>
      <c r="L33" s="261" t="n"/>
      <c r="M33" s="600" t="n"/>
      <c r="N33" s="262" t="inlineStr">
        <is>
          <t>-</t>
        </is>
      </c>
      <c r="O33" s="190" t="n"/>
      <c r="P33" s="490" t="inlineStr">
        <is>
          <t>Post Casting</t>
        </is>
      </c>
      <c r="Q33" s="510" t="inlineStr">
        <is>
          <t>Cutting Fixture (Circular/ Riser/ Band)</t>
        </is>
      </c>
      <c r="R33" s="503" t="n"/>
      <c r="S33" s="609" t="n"/>
      <c r="T33" s="6" t="n"/>
      <c r="U33" s="264" t="inlineStr">
        <is>
          <t>Is after assembly machining involved? (Yes / No)</t>
        </is>
      </c>
      <c r="V33" s="265" t="n"/>
      <c r="W33" s="266" t="n"/>
      <c r="X33" s="610" t="n"/>
      <c r="Y33" s="268" t="n"/>
      <c r="Z33" s="142" t="n"/>
      <c r="AB33" s="157" t="n"/>
      <c r="AC33" s="486" t="inlineStr">
        <is>
          <t>Instllation &amp; Commissioning</t>
        </is>
      </c>
      <c r="AD33" s="484" t="n"/>
      <c r="AE33" s="486" t="n"/>
      <c r="AF33" s="484" t="n"/>
      <c r="AG33" s="486" t="n"/>
      <c r="AH33" s="484" t="n"/>
      <c r="AI33" s="162">
        <f>SUM(AI18:AI29)*5%</f>
        <v/>
      </c>
      <c r="AJ33" s="611" t="n"/>
      <c r="AK33" s="7" t="n"/>
      <c r="AL33" s="7" t="n"/>
      <c r="AM33" s="8" t="n"/>
      <c r="AP33" s="157">
        <f>AP32+10</f>
        <v/>
      </c>
      <c r="AQ33" s="486" t="n"/>
      <c r="AR33" s="484" t="n"/>
      <c r="AS33" s="607" t="n"/>
      <c r="AT33" s="250" t="n"/>
      <c r="AU33" s="251" t="n"/>
      <c r="AV33" s="161" t="n"/>
      <c r="AW33" s="162">
        <f>AU33*AV33</f>
        <v/>
      </c>
      <c r="AX33" s="163" t="n"/>
    </row>
    <row r="34" ht="12.75" customHeight="1" s="517">
      <c r="B34" s="270" t="inlineStr">
        <is>
          <t>Profile Cutting/ Trimming  Press / tool</t>
        </is>
      </c>
      <c r="C34" s="529" t="n"/>
      <c r="D34" s="271" t="n"/>
      <c r="E34" s="272" t="n"/>
      <c r="F34" s="17" t="inlineStr">
        <is>
          <t>Tensile Testing cost / part</t>
        </is>
      </c>
      <c r="G34" s="243" t="n"/>
      <c r="I34" s="488" t="n"/>
      <c r="J34" s="492" t="inlineStr">
        <is>
          <t>Circular saw cutting machine</t>
        </is>
      </c>
      <c r="K34" s="187" t="n"/>
      <c r="L34" s="273" t="n"/>
      <c r="M34" s="601" t="n"/>
      <c r="N34" s="262" t="n"/>
      <c r="O34" s="190" t="n"/>
      <c r="P34" s="488" t="n"/>
      <c r="Q34" s="492" t="inlineStr">
        <is>
          <t>Riser Collection Trolley</t>
        </is>
      </c>
      <c r="R34" s="493" t="n"/>
      <c r="S34" s="609" t="n"/>
      <c r="T34" s="6" t="n"/>
      <c r="U34" s="274" t="inlineStr">
        <is>
          <t>After Assy Machining Cost details: (Rs.)</t>
        </is>
      </c>
      <c r="V34" s="275" t="n"/>
      <c r="W34" s="538" t="n"/>
      <c r="X34" s="484" t="n"/>
      <c r="Y34" s="276" t="inlineStr">
        <is>
          <t>Cycle Time (min)</t>
        </is>
      </c>
      <c r="Z34" s="142" t="n"/>
      <c r="AB34" s="157" t="n"/>
      <c r="AC34" s="486" t="n"/>
      <c r="AD34" s="484" t="n"/>
      <c r="AE34" s="607" t="n"/>
      <c r="AF34" s="250" t="n"/>
      <c r="AG34" s="251" t="n"/>
      <c r="AH34" s="161" t="n"/>
      <c r="AI34" s="162" t="n"/>
      <c r="AJ34" s="7" t="n"/>
      <c r="AK34" s="7" t="n"/>
      <c r="AL34" s="7" t="n"/>
      <c r="AM34" s="8" t="n"/>
      <c r="AP34" s="157">
        <f>AP33+10</f>
        <v/>
      </c>
      <c r="AQ34" s="486" t="n"/>
      <c r="AR34" s="484" t="n"/>
      <c r="AS34" s="607" t="n"/>
      <c r="AT34" s="250" t="n"/>
      <c r="AU34" s="277" t="n"/>
      <c r="AV34" s="278" t="n"/>
      <c r="AW34" s="162">
        <f>AU34*AV34</f>
        <v/>
      </c>
      <c r="AX34" s="279" t="n"/>
    </row>
    <row r="35" ht="25.5" customHeight="1" s="517">
      <c r="B35" s="236" t="inlineStr">
        <is>
          <t>DM Water cost for Dycoat &amp; Cooling Tower the the extent of utilisation</t>
        </is>
      </c>
      <c r="C35" s="22" t="n"/>
      <c r="D35" s="22" t="n"/>
      <c r="E35" s="272" t="n"/>
      <c r="F35" s="17" t="inlineStr">
        <is>
          <t>3D Inspection cost / part</t>
        </is>
      </c>
      <c r="G35" s="612" t="n"/>
      <c r="I35" s="488" t="n"/>
      <c r="J35" s="492" t="inlineStr">
        <is>
          <t>Knock out press</t>
        </is>
      </c>
      <c r="K35" s="209" t="n"/>
      <c r="L35" s="273" t="n"/>
      <c r="M35" s="601" t="n"/>
      <c r="N35" s="262" t="n"/>
      <c r="O35" s="190" t="n"/>
      <c r="P35" s="488" t="n"/>
      <c r="Q35" s="492" t="inlineStr">
        <is>
          <t>Fettling table with Indexing Head</t>
        </is>
      </c>
      <c r="R35" s="493" t="n"/>
      <c r="S35" s="609" t="n"/>
      <c r="T35" s="6" t="n"/>
      <c r="U35" s="281" t="inlineStr">
        <is>
          <t>Vertical M/cng Center</t>
        </is>
      </c>
      <c r="V35" s="531" t="n"/>
      <c r="W35" s="281" t="n"/>
      <c r="X35" s="282" t="n"/>
      <c r="Y35" s="613" t="n"/>
      <c r="Z35" s="142" t="n"/>
      <c r="AB35" s="157" t="n"/>
      <c r="AC35" s="486" t="n"/>
      <c r="AD35" s="484" t="n"/>
      <c r="AE35" s="486" t="n"/>
      <c r="AF35" s="484" t="n"/>
      <c r="AG35" s="486" t="n"/>
      <c r="AH35" s="484" t="n"/>
      <c r="AI35" s="162" t="n"/>
      <c r="AJ35" s="7" t="n"/>
      <c r="AK35" s="7" t="n"/>
      <c r="AL35" s="7" t="n"/>
      <c r="AM35" s="8" t="n"/>
      <c r="AP35" s="157">
        <f>AP34+10</f>
        <v/>
      </c>
      <c r="AQ35" s="486" t="inlineStr">
        <is>
          <t>ROBOT / AUTOMATION</t>
        </is>
      </c>
      <c r="AR35" s="484" t="n"/>
      <c r="AS35" s="607" t="n"/>
      <c r="AT35" s="250" t="n"/>
      <c r="AU35" s="277" t="n"/>
      <c r="AV35" s="278" t="n"/>
      <c r="AW35" s="162">
        <f>AT35*AU35*AV35</f>
        <v/>
      </c>
      <c r="AX35" s="279" t="n"/>
    </row>
    <row r="36" ht="25.5" customHeight="1" s="517">
      <c r="B36" s="284" t="inlineStr">
        <is>
          <t>Spl process machine</t>
        </is>
      </c>
      <c r="C36" s="529" t="n"/>
      <c r="D36" s="22" t="n"/>
      <c r="E36" s="285" t="n"/>
      <c r="F36" s="119" t="inlineStr">
        <is>
          <t>Others (if any)</t>
        </is>
      </c>
      <c r="G36" s="243" t="n"/>
      <c r="I36" s="488" t="n"/>
      <c r="J36" s="492" t="inlineStr">
        <is>
          <t>Linishing Machine with Dust Extractor</t>
        </is>
      </c>
      <c r="K36" s="187" t="n"/>
      <c r="L36" s="273" t="n"/>
      <c r="M36" s="601" t="n"/>
      <c r="N36" s="262" t="n"/>
      <c r="O36" s="190" t="n"/>
      <c r="P36" s="488" t="n"/>
      <c r="Q36" s="492" t="inlineStr">
        <is>
          <t>Indexing Fixture</t>
        </is>
      </c>
      <c r="R36" s="493" t="n"/>
      <c r="S36" s="609" t="n"/>
      <c r="T36" s="6" t="n"/>
      <c r="U36" s="138" t="inlineStr">
        <is>
          <t>Horizontal M/cng Center</t>
        </is>
      </c>
      <c r="V36" s="139" t="n"/>
      <c r="W36" s="282" t="n"/>
      <c r="X36" s="282" t="n"/>
      <c r="Y36" s="613" t="n"/>
      <c r="Z36" s="142" t="n"/>
      <c r="AB36" s="557" t="n"/>
      <c r="AC36" s="512" t="inlineStr">
        <is>
          <t>MATERIAL HANDLING IN MACHINE SHOP</t>
        </is>
      </c>
      <c r="AD36" s="484" t="n"/>
      <c r="AE36" s="614" t="n"/>
      <c r="AF36" s="287" t="n"/>
      <c r="AG36" s="288" t="n"/>
      <c r="AH36" s="159" t="n"/>
      <c r="AI36" s="153">
        <f>(AF36*AH36*AG36)*$V$5</f>
        <v/>
      </c>
      <c r="AJ36" s="289" t="n"/>
      <c r="AK36" s="289" t="n"/>
      <c r="AL36" s="7" t="n"/>
      <c r="AM36" s="8" t="n"/>
      <c r="AP36" s="157" t="n"/>
      <c r="AQ36" s="482" t="inlineStr">
        <is>
          <t>MATERIAL HANDLING IN MACHINE SHOP</t>
        </is>
      </c>
      <c r="AR36" s="484" t="n"/>
      <c r="AS36" s="615" t="n"/>
      <c r="AT36" s="291" t="n"/>
      <c r="AU36" s="277" t="n"/>
      <c r="AV36" s="278" t="n"/>
      <c r="AW36" s="162">
        <f>AT36*AU36*AV36</f>
        <v/>
      </c>
      <c r="AX36" s="279" t="n"/>
    </row>
    <row r="37" ht="15" customHeight="1" s="517">
      <c r="B37" s="292" t="inlineStr">
        <is>
          <t>Buffing Machine</t>
        </is>
      </c>
      <c r="C37" s="22" t="n"/>
      <c r="D37" s="22" t="n"/>
      <c r="E37" s="293" t="n"/>
      <c r="F37" s="509" t="inlineStr">
        <is>
          <t>Total Testing cost / part</t>
        </is>
      </c>
      <c r="G37" s="616">
        <f>SUM(G29:G36)*W5</f>
        <v/>
      </c>
      <c r="I37" s="488" t="n"/>
      <c r="J37" s="492" t="inlineStr">
        <is>
          <t>Shift code punching Machine</t>
        </is>
      </c>
      <c r="K37" s="601" t="n"/>
      <c r="L37" s="273" t="n"/>
      <c r="M37" s="601" t="n"/>
      <c r="N37" s="262" t="n"/>
      <c r="O37" s="190" t="n"/>
      <c r="P37" s="488" t="n"/>
      <c r="Q37" s="492" t="inlineStr">
        <is>
          <t>Fettling Table</t>
        </is>
      </c>
      <c r="R37" s="493" t="n"/>
      <c r="S37" s="609" t="n"/>
      <c r="T37" s="6" t="n"/>
      <c r="U37" s="138" t="inlineStr">
        <is>
          <t>Special Purpose Machine</t>
        </is>
      </c>
      <c r="V37" s="139" t="n"/>
      <c r="W37" s="282" t="n"/>
      <c r="X37" s="282" t="n"/>
      <c r="Y37" s="606" t="n"/>
      <c r="Z37" s="142" t="n"/>
      <c r="AB37" s="157" t="n"/>
      <c r="AC37" s="531" t="n"/>
      <c r="AD37" s="239" t="n"/>
      <c r="AE37" s="296" t="n"/>
      <c r="AF37" s="239" t="n"/>
      <c r="AG37" s="531" t="n"/>
      <c r="AH37" s="296" t="n"/>
      <c r="AI37" s="297" t="n"/>
      <c r="AJ37" s="531" t="n"/>
      <c r="AK37" s="531" t="n"/>
      <c r="AL37" s="7" t="n"/>
      <c r="AM37" s="8" t="n"/>
      <c r="AP37" s="298" t="n"/>
      <c r="AQ37" s="7" t="n"/>
      <c r="AR37" s="299" t="n"/>
      <c r="AS37" s="300" t="n"/>
      <c r="AT37" s="299" t="n"/>
      <c r="AU37" s="301" t="n"/>
      <c r="AV37" s="300" t="n"/>
      <c r="AW37" s="302" t="n"/>
      <c r="AX37" s="41" t="n"/>
    </row>
    <row r="38" ht="19.5" customHeight="1" s="517">
      <c r="B38" s="284" t="inlineStr">
        <is>
          <t>Material handling cost (Trolley type)</t>
        </is>
      </c>
      <c r="C38" s="22" t="n"/>
      <c r="D38" s="22" t="n"/>
      <c r="E38" s="237" t="n"/>
      <c r="F38" s="617" t="inlineStr">
        <is>
          <t>POWER DETAILS (kw/hr)</t>
        </is>
      </c>
      <c r="G38" s="618" t="n"/>
      <c r="I38" s="488" t="n"/>
      <c r="J38" s="492" t="inlineStr">
        <is>
          <t xml:space="preserve">Welding Machine </t>
        </is>
      </c>
      <c r="K38" s="601" t="n"/>
      <c r="L38" s="273" t="n"/>
      <c r="M38" s="601" t="n"/>
      <c r="N38" s="262" t="inlineStr">
        <is>
          <t>-</t>
        </is>
      </c>
      <c r="O38" s="190" t="n"/>
      <c r="P38" s="488" t="n"/>
      <c r="Q38" s="492" t="inlineStr">
        <is>
          <t>Fettling Booth</t>
        </is>
      </c>
      <c r="R38" s="493" t="n"/>
      <c r="S38" s="609" t="n"/>
      <c r="T38" s="6" t="n"/>
      <c r="U38" s="138" t="inlineStr">
        <is>
          <t>Turning Centers</t>
        </is>
      </c>
      <c r="V38" s="139" t="n"/>
      <c r="W38" s="282" t="n"/>
      <c r="X38" s="282" t="n"/>
      <c r="Y38" s="606" t="n"/>
      <c r="Z38" s="142" t="n"/>
      <c r="AB38" s="531" t="n"/>
      <c r="AC38" s="486" t="n"/>
      <c r="AD38" s="306" t="inlineStr">
        <is>
          <t>Cell Cycle Time:</t>
        </is>
      </c>
      <c r="AE38" s="307" t="n"/>
      <c r="AF38" s="509" t="inlineStr">
        <is>
          <t>Total Capital Expenditure - Rs. In L</t>
        </is>
      </c>
      <c r="AG38" s="509" t="n"/>
      <c r="AH38" s="509" t="n"/>
      <c r="AI38" s="308">
        <f>SUM(AI18:AI36)</f>
        <v/>
      </c>
      <c r="AJ38" s="160" t="n"/>
      <c r="AK38" s="309" t="n"/>
      <c r="AL38" s="7" t="n"/>
      <c r="AM38" s="8" t="n"/>
      <c r="AP38" s="134" t="n"/>
      <c r="AQ38" s="310" t="n"/>
      <c r="AR38" s="311" t="inlineStr">
        <is>
          <t>Cell Cycle Time:</t>
        </is>
      </c>
      <c r="AS38" s="312">
        <f>MAX(AS18:AS37)</f>
        <v/>
      </c>
      <c r="AT38" s="313" t="inlineStr">
        <is>
          <t>Total Capital Expenditure Rs. In L</t>
        </is>
      </c>
      <c r="AU38" s="314" t="n"/>
      <c r="AV38" s="315" t="n"/>
      <c r="AW38" s="308">
        <f>SUM(AW18:AW36)</f>
        <v/>
      </c>
    </row>
    <row r="39" ht="15" customHeight="1" s="517">
      <c r="B39" s="292" t="inlineStr">
        <is>
          <t>Special Guaging</t>
        </is>
      </c>
      <c r="C39" s="529" t="n"/>
      <c r="D39" s="22" t="n"/>
      <c r="E39" s="316" t="n"/>
      <c r="F39" s="242" t="inlineStr">
        <is>
          <t xml:space="preserve">Casting cell </t>
        </is>
      </c>
      <c r="G39" s="317" t="n"/>
      <c r="I39" s="491" t="n"/>
      <c r="J39" s="318" t="n"/>
      <c r="K39" s="602" t="n"/>
      <c r="L39" s="261" t="n"/>
      <c r="M39" s="600" t="n"/>
      <c r="N39" s="262" t="inlineStr">
        <is>
          <t>-</t>
        </is>
      </c>
      <c r="O39" s="190" t="n"/>
      <c r="P39" s="488" t="n"/>
      <c r="Q39" s="492" t="inlineStr">
        <is>
          <t>Cell Formation Cost</t>
        </is>
      </c>
      <c r="R39" s="493" t="n"/>
      <c r="S39" s="609" t="n"/>
      <c r="T39" s="6" t="n"/>
      <c r="U39" s="138" t="inlineStr">
        <is>
          <t>Washing Machine</t>
        </is>
      </c>
      <c r="V39" s="139" t="n"/>
      <c r="W39" s="282" t="n"/>
      <c r="X39" s="282" t="n"/>
      <c r="Y39" s="606" t="n"/>
      <c r="Z39" s="142" t="n"/>
      <c r="AB39" s="319" t="n"/>
      <c r="AC39" s="320" t="n"/>
      <c r="AD39" s="320" t="n"/>
      <c r="AE39" s="320" t="n"/>
      <c r="AF39" s="320" t="n"/>
      <c r="AG39" s="320" t="n"/>
      <c r="AH39" s="320" t="n"/>
      <c r="AI39" s="619" t="n"/>
      <c r="AJ39" s="595" t="n"/>
      <c r="AK39" s="7" t="n"/>
      <c r="AL39" s="7" t="n"/>
      <c r="AM39" s="8" t="n"/>
      <c r="AP39" s="61" t="n"/>
      <c r="AQ39" s="322" t="n"/>
      <c r="AR39" s="323" t="n"/>
      <c r="AS39" s="323" t="n"/>
      <c r="AT39" s="323" t="n"/>
      <c r="AU39" s="323" t="n"/>
      <c r="AV39" s="323" t="n"/>
      <c r="AW39" s="324" t="n"/>
    </row>
    <row r="40" ht="25.5" customHeight="1" s="517">
      <c r="B40" s="284" t="inlineStr">
        <is>
          <t>Die setting cost</t>
        </is>
      </c>
      <c r="C40" s="529" t="n"/>
      <c r="D40" s="529" t="n"/>
      <c r="E40" s="316" t="n"/>
      <c r="F40" s="17" t="inlineStr">
        <is>
          <t>Melting furnace (including scrubber)</t>
        </is>
      </c>
      <c r="G40" s="317" t="n"/>
      <c r="I40" s="490" t="inlineStr">
        <is>
          <t>Automation</t>
        </is>
      </c>
      <c r="J40" s="510" t="inlineStr">
        <is>
          <t>Robot cell (Pouring robot, Quenching, Cutting m/c, cell forming)</t>
        </is>
      </c>
      <c r="K40" s="600" t="n"/>
      <c r="L40" s="261" t="n"/>
      <c r="M40" s="600" t="n"/>
      <c r="N40" s="325" t="n"/>
      <c r="O40" s="190" t="n"/>
      <c r="P40" s="488" t="n"/>
      <c r="Q40" s="492" t="inlineStr">
        <is>
          <t>Filing &amp; Grinding Tools</t>
        </is>
      </c>
      <c r="R40" s="493" t="n"/>
      <c r="S40" s="609" t="n"/>
      <c r="T40" s="6" t="n"/>
      <c r="U40" s="138" t="inlineStr">
        <is>
          <t>Leak Testing Machine</t>
        </is>
      </c>
      <c r="V40" s="139" t="n"/>
      <c r="W40" s="282" t="n"/>
      <c r="X40" s="282" t="n"/>
      <c r="Y40" s="606" t="n"/>
      <c r="Z40" s="142" t="n"/>
      <c r="AB40" s="326" t="n"/>
      <c r="AC40" s="327" t="n"/>
      <c r="AD40" s="328" t="n"/>
      <c r="AE40" s="328" t="n"/>
      <c r="AF40" s="328" t="n"/>
      <c r="AG40" s="329" t="n"/>
      <c r="AH40" s="328" t="n"/>
      <c r="AI40" s="620" t="n"/>
      <c r="AJ40" s="7" t="n"/>
      <c r="AK40" s="7" t="n"/>
      <c r="AL40" s="7" t="n"/>
      <c r="AM40" s="8" t="n"/>
      <c r="AP40" s="326" t="n"/>
      <c r="AQ40" s="327" t="n"/>
      <c r="AR40" s="328" t="n"/>
      <c r="AS40" s="328" t="n"/>
      <c r="AT40" s="328" t="n"/>
      <c r="AU40" s="329" t="n"/>
      <c r="AV40" s="328" t="n"/>
      <c r="AW40" s="331" t="n"/>
    </row>
    <row r="41" ht="14.25" customHeight="1" s="517">
      <c r="B41" s="292" t="inlineStr">
        <is>
          <t>Cap to avoid Damage-003</t>
        </is>
      </c>
      <c r="C41" s="529" t="n"/>
      <c r="D41" s="529" t="n"/>
      <c r="E41" s="316" t="n"/>
      <c r="F41" s="119" t="inlineStr">
        <is>
          <t>X ray Power rating</t>
        </is>
      </c>
      <c r="G41" s="332" t="n"/>
      <c r="I41" s="488" t="n"/>
      <c r="J41" s="492" t="inlineStr">
        <is>
          <t>Endoscope machine</t>
        </is>
      </c>
      <c r="K41" s="601" t="n"/>
      <c r="L41" s="273" t="n"/>
      <c r="M41" s="601" t="n"/>
      <c r="N41" s="325" t="n"/>
      <c r="O41" s="190" t="n"/>
      <c r="P41" s="488" t="n"/>
      <c r="Q41" s="492" t="inlineStr">
        <is>
          <t>Final Inspection Table (Post cast+ HT)</t>
        </is>
      </c>
      <c r="R41" s="493" t="n"/>
      <c r="S41" s="609" t="n"/>
      <c r="T41" s="6" t="n"/>
      <c r="U41" s="138" t="inlineStr">
        <is>
          <t>Deburring Unit / Air cleaning / Final Inspection</t>
        </is>
      </c>
      <c r="V41" s="139" t="n"/>
      <c r="W41" s="282" t="n"/>
      <c r="X41" s="282" t="n"/>
      <c r="Y41" s="606" t="n"/>
      <c r="Z41" s="142" t="n"/>
      <c r="AB41" s="333" t="inlineStr">
        <is>
          <t>Operating cost for the given Volume:</t>
        </is>
      </c>
      <c r="AC41" s="7" t="n"/>
      <c r="AD41" s="334" t="inlineStr">
        <is>
          <t>Rs. In L</t>
        </is>
      </c>
      <c r="AE41" s="335" t="n"/>
      <c r="AF41" s="7" t="n"/>
      <c r="AG41" s="7" t="n"/>
      <c r="AH41" s="7" t="n"/>
      <c r="AI41" s="336" t="n"/>
      <c r="AJ41" s="7" t="n"/>
      <c r="AK41" s="7" t="n"/>
      <c r="AL41" s="7" t="n"/>
      <c r="AM41" s="8" t="n"/>
      <c r="AP41" s="333" t="inlineStr">
        <is>
          <t>Operating cost for the given Volume:</t>
        </is>
      </c>
      <c r="AQ41" s="7" t="n"/>
      <c r="AR41" s="337" t="inlineStr">
        <is>
          <t>Rs. In L</t>
        </is>
      </c>
      <c r="AS41" s="335" t="n"/>
      <c r="AT41" s="7" t="n"/>
      <c r="AU41" s="7" t="n"/>
      <c r="AV41" s="7" t="n"/>
      <c r="AW41" s="336" t="n"/>
    </row>
    <row r="42" ht="13.5" customHeight="1" s="517">
      <c r="B42" s="292" t="inlineStr">
        <is>
          <t>Part sensor</t>
        </is>
      </c>
      <c r="C42" s="529" t="n"/>
      <c r="D42" s="529" t="n"/>
      <c r="E42" s="316" t="n"/>
      <c r="F42" s="621" t="inlineStr">
        <is>
          <t>OTHER INFORMATIONS</t>
        </is>
      </c>
      <c r="G42" s="495" t="n"/>
      <c r="I42" s="488" t="n"/>
      <c r="J42" s="492" t="inlineStr">
        <is>
          <t>special core handling and trsting</t>
        </is>
      </c>
      <c r="K42" s="601" t="n"/>
      <c r="L42" s="273" t="n"/>
      <c r="M42" s="622" t="n"/>
      <c r="N42" s="339" t="n"/>
      <c r="O42" s="190" t="n"/>
      <c r="P42" s="488" t="n"/>
      <c r="Q42" s="492" t="inlineStr">
        <is>
          <t>Storage Pallets</t>
        </is>
      </c>
      <c r="R42" s="493" t="n"/>
      <c r="S42" s="609" t="n"/>
      <c r="T42" s="6" t="n"/>
      <c r="U42" s="138" t="inlineStr">
        <is>
          <t>BAR CODE LABLE WITH 2D SCANNER</t>
        </is>
      </c>
      <c r="V42" s="139" t="n"/>
      <c r="W42" s="282" t="n"/>
      <c r="X42" s="282" t="n"/>
      <c r="Y42" s="613" t="n"/>
      <c r="Z42" s="142" t="n"/>
      <c r="AB42" s="531" t="inlineStr">
        <is>
          <t>Cost of Cutting tools</t>
        </is>
      </c>
      <c r="AC42" s="340" t="n"/>
      <c r="AD42" s="341" t="n"/>
      <c r="AE42" s="342" t="n"/>
      <c r="AF42" s="531" t="inlineStr">
        <is>
          <t>Cell Cycle Time (Min.)</t>
        </is>
      </c>
      <c r="AG42" s="531" t="n"/>
      <c r="AH42" s="531" t="n"/>
      <c r="AI42" s="307" t="n"/>
      <c r="AJ42" s="7" t="n"/>
      <c r="AK42" s="7" t="n"/>
      <c r="AL42" s="7" t="n"/>
      <c r="AM42" s="8" t="n"/>
      <c r="AP42" s="531" t="inlineStr">
        <is>
          <t>Cost of Cutting tools</t>
        </is>
      </c>
      <c r="AQ42" s="531" t="n"/>
      <c r="AR42" s="341" t="n"/>
      <c r="AS42" s="342" t="n"/>
      <c r="AT42" s="531" t="inlineStr">
        <is>
          <t>Cell Cycle Time (Min.)</t>
        </is>
      </c>
      <c r="AU42" s="531" t="n"/>
      <c r="AV42" s="531" t="n"/>
      <c r="AW42" s="343" t="n"/>
    </row>
    <row r="43" ht="12.75" customHeight="1" s="517">
      <c r="B43" s="292" t="inlineStr">
        <is>
          <t>Special Purpose</t>
        </is>
      </c>
      <c r="C43" s="223" t="n"/>
      <c r="D43" s="529" t="n"/>
      <c r="E43" s="316" t="n"/>
      <c r="F43" s="510" t="inlineStr">
        <is>
          <t xml:space="preserve">Manpower reqt/ shift/ cell </t>
        </is>
      </c>
      <c r="G43" s="317" t="n"/>
      <c r="I43" s="488" t="n"/>
      <c r="J43" s="492" t="inlineStr">
        <is>
          <t>Component Extractor or Catcher</t>
        </is>
      </c>
      <c r="K43" s="601" t="n"/>
      <c r="L43" s="524" t="n"/>
      <c r="M43" s="601" t="n"/>
      <c r="N43" s="344" t="inlineStr">
        <is>
          <t>-</t>
        </is>
      </c>
      <c r="O43" s="190" t="n"/>
      <c r="P43" s="488" t="n"/>
      <c r="Q43" s="492" t="inlineStr">
        <is>
          <t>Gauges</t>
        </is>
      </c>
      <c r="R43" s="493" t="n"/>
      <c r="S43" s="609" t="n"/>
      <c r="T43" s="6" t="n"/>
      <c r="U43" s="138" t="inlineStr">
        <is>
          <t>Consumable tools cost,TH</t>
        </is>
      </c>
      <c r="V43" s="139" t="n"/>
      <c r="W43" s="282" t="n"/>
      <c r="X43" s="282" t="n"/>
      <c r="Y43" s="613" t="n"/>
      <c r="Z43" s="142" t="n"/>
      <c r="AB43" s="531" t="inlineStr">
        <is>
          <t>Cost of Tool Holders &amp; Probing</t>
        </is>
      </c>
      <c r="AC43" s="340" t="n"/>
      <c r="AD43" s="341" t="n"/>
      <c r="AE43" s="342" t="n"/>
      <c r="AF43" s="531" t="inlineStr">
        <is>
          <t>Cell Capacity (Nos.)</t>
        </is>
      </c>
      <c r="AG43" s="531" t="n"/>
      <c r="AH43" s="531" t="n"/>
      <c r="AI43" s="345" t="n"/>
      <c r="AJ43" s="7" t="n"/>
      <c r="AK43" s="7" t="n"/>
      <c r="AL43" s="7" t="n"/>
      <c r="AM43" s="8" t="n"/>
      <c r="AP43" s="531" t="inlineStr">
        <is>
          <t>Cost of Tool Holders</t>
        </is>
      </c>
      <c r="AQ43" s="531" t="n"/>
      <c r="AR43" s="341" t="n"/>
      <c r="AS43" s="342" t="n"/>
      <c r="AT43" s="531" t="inlineStr">
        <is>
          <t>Cell Capacity (Nos.)</t>
        </is>
      </c>
      <c r="AU43" s="531" t="n"/>
      <c r="AV43" s="531" t="n"/>
      <c r="AW43" s="346" t="n"/>
    </row>
    <row r="44" ht="14.25" customHeight="1" s="517">
      <c r="B44" s="292" t="inlineStr">
        <is>
          <t>Cutting Machine &amp; Fixtures</t>
        </is>
      </c>
      <c r="C44" s="347" t="n"/>
      <c r="D44" s="347" t="n"/>
      <c r="E44" s="316" t="n"/>
      <c r="F44" s="492" t="inlineStr">
        <is>
          <t>Floor space required for casting cell (Sq.m)</t>
        </is>
      </c>
      <c r="G44" s="317" t="n"/>
      <c r="I44" s="491" t="n"/>
      <c r="J44" s="318" t="inlineStr">
        <is>
          <t xml:space="preserve">Air Balancer </t>
        </is>
      </c>
      <c r="K44" s="602" t="n"/>
      <c r="L44" s="491" t="n"/>
      <c r="M44" s="602" t="n"/>
      <c r="N44" s="344" t="inlineStr">
        <is>
          <t>-</t>
        </is>
      </c>
      <c r="O44" s="190" t="n"/>
      <c r="P44" s="488" t="n"/>
      <c r="Q44" s="492" t="n"/>
      <c r="R44" s="493" t="n"/>
      <c r="S44" s="609" t="n"/>
      <c r="T44" s="6" t="n"/>
      <c r="U44" s="138" t="inlineStr">
        <is>
          <t>Fixture Cost</t>
        </is>
      </c>
      <c r="V44" s="139" t="n"/>
      <c r="W44" s="282" t="n"/>
      <c r="X44" s="282" t="n"/>
      <c r="Y44" s="613" t="n"/>
      <c r="Z44" s="142" t="n"/>
      <c r="AB44" s="531" t="inlineStr">
        <is>
          <t>Cap Die cost</t>
        </is>
      </c>
      <c r="AC44" s="348" t="n"/>
      <c r="AD44" s="341" t="n"/>
      <c r="AE44" s="342" t="n"/>
      <c r="AF44" s="531" t="inlineStr">
        <is>
          <t>Cell Utilisation</t>
        </is>
      </c>
      <c r="AG44" s="531" t="n"/>
      <c r="AH44" s="531" t="n"/>
      <c r="AI44" s="247" t="n"/>
      <c r="AJ44" s="7" t="n"/>
      <c r="AK44" s="7" t="n"/>
      <c r="AL44" s="7" t="n"/>
      <c r="AM44" s="8" t="n"/>
      <c r="AP44" s="531" t="inlineStr">
        <is>
          <t>Cost of Probing Unit (if any)</t>
        </is>
      </c>
      <c r="AQ44" s="531" t="n"/>
      <c r="AR44" s="341" t="n"/>
      <c r="AS44" s="342" t="n"/>
      <c r="AT44" s="531" t="inlineStr">
        <is>
          <t>Cell Utilisation</t>
        </is>
      </c>
      <c r="AU44" s="531" t="n"/>
      <c r="AV44" s="531" t="n"/>
      <c r="AW44" s="349" t="n"/>
    </row>
    <row r="45" ht="15" customHeight="1" s="517">
      <c r="B45" s="350" t="inlineStr">
        <is>
          <t>Total investment/ cell (Rs. Lac)</t>
        </is>
      </c>
      <c r="C45" s="351">
        <f>SUM(C26:C44)</f>
        <v/>
      </c>
      <c r="D45" s="351">
        <f>SUM(D26:D44)</f>
        <v/>
      </c>
      <c r="E45" s="623" t="n"/>
      <c r="F45" s="17" t="n"/>
      <c r="G45" s="169" t="n"/>
      <c r="I45" s="490" t="inlineStr">
        <is>
          <t>Others</t>
        </is>
      </c>
      <c r="J45" s="510" t="inlineStr">
        <is>
          <t>Core Painting Oven (if any)</t>
        </is>
      </c>
      <c r="K45" s="600" t="n"/>
      <c r="L45" s="261" t="n"/>
      <c r="M45" s="600" t="n"/>
      <c r="N45" s="344" t="inlineStr">
        <is>
          <t>-</t>
        </is>
      </c>
      <c r="O45" s="190" t="n"/>
      <c r="P45" s="488" t="n"/>
      <c r="Q45" s="492" t="n"/>
      <c r="R45" s="493" t="n"/>
      <c r="S45" s="609" t="n"/>
      <c r="T45" s="6" t="n"/>
      <c r="U45" s="138" t="inlineStr">
        <is>
          <t>Gauge cost</t>
        </is>
      </c>
      <c r="V45" s="139" t="n"/>
      <c r="W45" s="282" t="n"/>
      <c r="X45" s="282" t="n"/>
      <c r="Y45" s="613" t="n"/>
      <c r="Z45" s="142" t="n"/>
      <c r="AB45" s="531" t="inlineStr">
        <is>
          <t>Cost of Fixtures</t>
        </is>
      </c>
      <c r="AC45" s="348">
        <f>23+2</f>
        <v/>
      </c>
      <c r="AD45" s="341" t="n"/>
      <c r="AE45" s="353" t="inlineStr">
        <is>
          <t>Lumpsum</t>
        </is>
      </c>
      <c r="AF45" s="531" t="inlineStr">
        <is>
          <t>No. of Cells</t>
        </is>
      </c>
      <c r="AG45" s="531" t="n"/>
      <c r="AH45" s="531" t="n"/>
      <c r="AI45" s="354" t="n"/>
      <c r="AJ45" s="7" t="n"/>
      <c r="AK45" s="7" t="n"/>
      <c r="AL45" s="7" t="n"/>
      <c r="AM45" s="8" t="n"/>
      <c r="AP45" s="531" t="inlineStr">
        <is>
          <t>Cost of Fixtures</t>
        </is>
      </c>
      <c r="AQ45" s="531" t="n"/>
      <c r="AR45" s="341" t="n"/>
      <c r="AS45" s="353" t="inlineStr">
        <is>
          <t>Lumpsum</t>
        </is>
      </c>
      <c r="AT45" s="531" t="inlineStr">
        <is>
          <t>No. of Cells</t>
        </is>
      </c>
      <c r="AU45" s="531" t="n"/>
      <c r="AV45" s="531" t="n"/>
      <c r="AW45" s="355" t="n"/>
    </row>
    <row r="46" ht="24.75" customHeight="1" s="517">
      <c r="B46" s="350" t="inlineStr">
        <is>
          <t>Total Investment for all cells (Rs. Lac)</t>
        </is>
      </c>
      <c r="C46" s="351">
        <f>C45</f>
        <v/>
      </c>
      <c r="D46" s="351">
        <f>D45</f>
        <v/>
      </c>
      <c r="E46" s="356" t="n"/>
      <c r="F46" s="492" t="inlineStr">
        <is>
          <t>Type of shot blasting (Hanger type / AlO2/ Tumbling/ Vibro finishing)</t>
        </is>
      </c>
      <c r="G46" s="169" t="n"/>
      <c r="I46" s="488" t="n"/>
      <c r="J46" s="492" t="inlineStr">
        <is>
          <t>Endoscope machine</t>
        </is>
      </c>
      <c r="K46" s="601" t="n"/>
      <c r="L46" s="273" t="n"/>
      <c r="M46" s="601" t="n"/>
      <c r="N46" s="344" t="inlineStr">
        <is>
          <t>-</t>
        </is>
      </c>
      <c r="O46" s="190" t="n"/>
      <c r="P46" s="488" t="n"/>
      <c r="Q46" s="492" t="inlineStr">
        <is>
          <t>Welding Booth</t>
        </is>
      </c>
      <c r="R46" s="493" t="n"/>
      <c r="S46" s="609" t="n"/>
      <c r="T46" s="6" t="n"/>
      <c r="U46" s="357" t="inlineStr">
        <is>
          <t>Total after assembly machining Investment</t>
        </is>
      </c>
      <c r="V46" s="315" t="n"/>
      <c r="W46" s="358">
        <f>SUM(W35:W45)</f>
        <v/>
      </c>
      <c r="X46" s="358">
        <f>SUM(X35:X45)*W5</f>
        <v/>
      </c>
      <c r="Y46" s="359" t="n"/>
      <c r="Z46" s="142" t="n"/>
      <c r="AB46" s="531" t="inlineStr">
        <is>
          <t>Cost of Gauges</t>
        </is>
      </c>
      <c r="AC46" s="348">
        <f>6.8</f>
        <v/>
      </c>
      <c r="AD46" s="341" t="n"/>
      <c r="AE46" s="353" t="inlineStr">
        <is>
          <t>Lumpsum</t>
        </is>
      </c>
      <c r="AF46" s="7" t="n"/>
      <c r="AG46" s="7" t="n"/>
      <c r="AH46" s="7" t="n"/>
      <c r="AI46" s="336" t="n"/>
      <c r="AJ46" s="7" t="n"/>
      <c r="AK46" s="7" t="n"/>
      <c r="AL46" s="7" t="n"/>
      <c r="AM46" s="8" t="n"/>
      <c r="AP46" s="531" t="inlineStr">
        <is>
          <t>Cost of Gauges</t>
        </is>
      </c>
      <c r="AQ46" s="531" t="n"/>
      <c r="AR46" s="341" t="n"/>
      <c r="AS46" s="353" t="inlineStr">
        <is>
          <t>Lumpsum</t>
        </is>
      </c>
      <c r="AT46" s="7" t="n"/>
      <c r="AU46" s="7" t="n"/>
      <c r="AV46" s="7" t="n"/>
      <c r="AW46" s="336" t="n"/>
    </row>
    <row r="47" ht="15.75" customHeight="1" s="517">
      <c r="B47" s="360" t="inlineStr">
        <is>
          <t>COMMON FACILITIES DATA</t>
        </is>
      </c>
      <c r="C47" s="624" t="n"/>
      <c r="D47" s="624" t="n"/>
      <c r="E47" s="362" t="n"/>
      <c r="F47" s="17" t="inlineStr">
        <is>
          <t>Casting Part No</t>
        </is>
      </c>
      <c r="G47" s="169" t="n"/>
      <c r="I47" s="491" t="n"/>
      <c r="J47" s="521" t="inlineStr">
        <is>
          <t>Deflashing station</t>
        </is>
      </c>
      <c r="K47" s="602" t="n"/>
      <c r="L47" s="524" t="n"/>
      <c r="M47" s="602" t="n"/>
      <c r="N47" s="344" t="inlineStr">
        <is>
          <t>-</t>
        </is>
      </c>
      <c r="O47" s="190" t="n"/>
      <c r="P47" s="488" t="n"/>
      <c r="Q47" s="492" t="inlineStr">
        <is>
          <t>Welding Fixture</t>
        </is>
      </c>
      <c r="R47" s="493" t="n"/>
      <c r="S47" s="609" t="n"/>
      <c r="T47" s="6" t="n"/>
      <c r="U47" s="363" t="inlineStr">
        <is>
          <t>Total after assembly machining Investment for all cells</t>
        </is>
      </c>
      <c r="V47" s="364" t="n"/>
      <c r="W47" s="365">
        <f>W46*W14</f>
        <v/>
      </c>
      <c r="X47" s="365">
        <f>IF((X14&gt;1),(X46*W14),X46)</f>
        <v/>
      </c>
      <c r="Y47" s="366" t="n"/>
      <c r="Z47" s="142" t="n"/>
      <c r="AB47" s="531" t="inlineStr">
        <is>
          <t>Cost of Material Handling</t>
        </is>
      </c>
      <c r="AC47" s="340" t="n"/>
      <c r="AD47" s="341" t="n"/>
      <c r="AE47" s="342" t="n"/>
      <c r="AF47" s="61" t="inlineStr">
        <is>
          <t>Power rating for cell (kw/hr)</t>
        </is>
      </c>
      <c r="AG47" s="322" t="n"/>
      <c r="AH47" s="139" t="n"/>
      <c r="AI47" s="625" t="n"/>
      <c r="AJ47" s="7" t="n"/>
      <c r="AK47" s="7" t="n"/>
      <c r="AL47" s="7" t="n"/>
      <c r="AM47" s="8" t="n"/>
      <c r="AP47" s="531" t="inlineStr">
        <is>
          <t>Cost of Material Handling</t>
        </is>
      </c>
      <c r="AQ47" s="531" t="n"/>
      <c r="AR47" s="341" t="n"/>
      <c r="AS47" s="342" t="n"/>
      <c r="AT47" s="61" t="inlineStr">
        <is>
          <t>Power rating for cell (kw/hr)</t>
        </is>
      </c>
      <c r="AU47" s="322" t="n"/>
      <c r="AV47" s="139" t="n"/>
      <c r="AW47" s="368" t="n"/>
    </row>
    <row r="48" ht="36" customHeight="1" s="517">
      <c r="B48" s="369" t="inlineStr">
        <is>
          <t>Shot blasting M/c</t>
        </is>
      </c>
      <c r="C48" s="370" t="n"/>
      <c r="D48" s="371" t="n"/>
      <c r="E48" s="372" t="n"/>
      <c r="F48" s="119" t="inlineStr">
        <is>
          <t>Casting Part Drg No</t>
        </is>
      </c>
      <c r="G48" s="173" t="n"/>
      <c r="I48" s="490" t="inlineStr">
        <is>
          <t>Common Facilities</t>
        </is>
      </c>
      <c r="J48" s="373" t="inlineStr">
        <is>
          <t>Shot blasting M/c</t>
        </is>
      </c>
      <c r="K48" s="374" t="n"/>
      <c r="L48" s="375" t="n"/>
      <c r="M48" s="626" t="n"/>
      <c r="N48" s="262" t="n"/>
      <c r="O48" s="190" t="n"/>
      <c r="P48" s="488" t="n"/>
      <c r="Q48" s="492" t="inlineStr">
        <is>
          <t>Fan for Operators (Areas at Core, Decore, Casting, Fettling, HT (if any), Sh/blast (if any))</t>
        </is>
      </c>
      <c r="R48" s="493" t="n"/>
      <c r="S48" s="609" t="n"/>
      <c r="T48" s="6" t="n"/>
      <c r="U48" s="357" t="n"/>
      <c r="V48" s="314" t="n"/>
      <c r="W48" s="377" t="n"/>
      <c r="X48" s="377" t="n"/>
      <c r="Y48" s="219" t="n"/>
      <c r="Z48" s="142" t="n"/>
      <c r="AB48" s="531" t="inlineStr">
        <is>
          <t>CMM fixture</t>
        </is>
      </c>
      <c r="AC48" s="627" t="n"/>
      <c r="AD48" s="341" t="n"/>
      <c r="AE48" s="353" t="n"/>
      <c r="AF48" s="61" t="inlineStr">
        <is>
          <t>Man Power / Shift / Cell</t>
        </is>
      </c>
      <c r="AG48" s="322" t="n"/>
      <c r="AH48" s="139" t="n"/>
      <c r="AI48" s="354" t="n"/>
      <c r="AJ48" s="7" t="n"/>
      <c r="AK48" s="7" t="n"/>
      <c r="AL48" s="7" t="n"/>
      <c r="AM48" s="8" t="n"/>
      <c r="AP48" s="134" t="n"/>
      <c r="AQ48" s="7" t="n"/>
      <c r="AR48" s="379" t="n"/>
      <c r="AS48" s="353" t="n"/>
      <c r="AT48" s="61" t="inlineStr">
        <is>
          <t>Man Power / Shift / Cell</t>
        </is>
      </c>
      <c r="AU48" s="322" t="n"/>
      <c r="AV48" s="139" t="n"/>
      <c r="AW48" s="355" t="n"/>
    </row>
    <row r="49" ht="15.75" customHeight="1" s="517">
      <c r="B49" s="236" t="inlineStr">
        <is>
          <t>Stainless Steel shots cost</t>
        </is>
      </c>
      <c r="C49" s="601" t="n"/>
      <c r="D49" s="601" t="n"/>
      <c r="E49" s="237" t="n"/>
      <c r="F49" s="362" t="n"/>
      <c r="G49" s="380" t="n"/>
      <c r="I49" s="488" t="n"/>
      <c r="J49" s="492" t="inlineStr">
        <is>
          <t>Melting furnace</t>
        </is>
      </c>
      <c r="K49" s="545" t="n"/>
      <c r="L49" s="542" t="n"/>
      <c r="M49" s="601" t="n"/>
      <c r="N49" s="262" t="n"/>
      <c r="O49" s="190" t="n"/>
      <c r="P49" s="488" t="n"/>
      <c r="Q49" s="496" t="inlineStr">
        <is>
          <t>Material handling (Crates+ Trolley)</t>
        </is>
      </c>
      <c r="R49" s="493" t="n"/>
      <c r="S49" s="609" t="n"/>
      <c r="T49" s="6" t="n"/>
      <c r="U49" s="381" t="inlineStr">
        <is>
          <t>TOTAL ASSY INVESTMENTS</t>
        </is>
      </c>
      <c r="V49" s="382" t="n"/>
      <c r="W49" s="628">
        <f>W25+W47</f>
        <v/>
      </c>
      <c r="X49" s="628">
        <f>X25+X47</f>
        <v/>
      </c>
      <c r="Y49" s="366" t="n"/>
      <c r="Z49" s="142" t="n"/>
      <c r="AB49" s="531" t="inlineStr">
        <is>
          <t xml:space="preserve">Coolant oil cost </t>
        </is>
      </c>
      <c r="AC49" s="160" t="n"/>
      <c r="AD49" s="341" t="n"/>
      <c r="AE49" s="353" t="inlineStr">
        <is>
          <t>S&amp;T</t>
        </is>
      </c>
      <c r="AF49" s="61" t="inlineStr">
        <is>
          <t>Floor area required / cell(Sq.M)</t>
        </is>
      </c>
      <c r="AG49" s="322" t="n"/>
      <c r="AH49" s="139" t="n"/>
      <c r="AI49" s="605" t="n"/>
      <c r="AJ49" s="7" t="n"/>
      <c r="AK49" s="7" t="n"/>
      <c r="AL49" s="7" t="n"/>
      <c r="AM49" s="8" t="n"/>
      <c r="AP49" s="531" t="inlineStr">
        <is>
          <t xml:space="preserve">Coolant oil cost </t>
        </is>
      </c>
      <c r="AQ49" s="531" t="n"/>
      <c r="AR49" s="235" t="n"/>
      <c r="AS49" s="353" t="inlineStr">
        <is>
          <t>S&amp;T</t>
        </is>
      </c>
      <c r="AT49" s="61" t="inlineStr">
        <is>
          <t>Floor area required / cell(Sq.M)</t>
        </is>
      </c>
      <c r="AU49" s="322" t="n"/>
      <c r="AV49" s="139" t="n"/>
      <c r="AW49" s="629" t="n"/>
    </row>
    <row r="50" ht="36" customHeight="1" s="517">
      <c r="B50" s="385" t="inlineStr">
        <is>
          <t>2MT Tower furnace</t>
        </is>
      </c>
      <c r="C50" s="601" t="n"/>
      <c r="D50" s="601" t="n"/>
      <c r="E50" s="372" t="n"/>
      <c r="F50" s="510" t="inlineStr">
        <is>
          <t>Shot blasting Output/ hr (Nos)</t>
        </is>
      </c>
      <c r="G50" s="386" t="n"/>
      <c r="I50" s="488" t="n"/>
      <c r="J50" s="492" t="inlineStr">
        <is>
          <t>Melting furnace accessories  
(Fork lift, ATL, Degassing unit, Dross trolley, scrubber unit)</t>
        </is>
      </c>
      <c r="K50" s="489" t="n"/>
      <c r="L50" s="489" t="n"/>
      <c r="M50" s="601" t="n"/>
      <c r="N50" s="262" t="n"/>
      <c r="O50" s="190" t="n"/>
      <c r="P50" s="488" t="n"/>
      <c r="Q50" s="492" t="inlineStr">
        <is>
          <t>Material handling (Trolley type)+ HT basket</t>
        </is>
      </c>
      <c r="R50" s="493" t="n"/>
      <c r="S50" s="609" t="n"/>
      <c r="T50" s="6" t="n"/>
      <c r="U50" s="170" t="n"/>
      <c r="V50" s="219" t="n"/>
      <c r="W50" s="630" t="n"/>
      <c r="X50" s="221" t="n"/>
      <c r="Y50" s="219" t="n"/>
      <c r="Z50" s="142" t="n"/>
      <c r="AB50" s="531" t="inlineStr">
        <is>
          <t xml:space="preserve">DM water cost for coolant, washing &amp; Leak </t>
        </is>
      </c>
      <c r="AC50" s="160" t="n"/>
      <c r="AD50" s="341" t="n"/>
      <c r="AE50" s="353" t="inlineStr">
        <is>
          <t>S&amp;T</t>
        </is>
      </c>
      <c r="AF50" s="61" t="inlineStr">
        <is>
          <t>IMP Salvaging %</t>
        </is>
      </c>
      <c r="AG50" s="322" t="n"/>
      <c r="AH50" s="139" t="n"/>
      <c r="AI50" s="247" t="n"/>
      <c r="AJ50" s="7" t="n"/>
      <c r="AK50" s="7" t="n"/>
      <c r="AL50" s="7" t="n"/>
      <c r="AM50" s="8" t="n"/>
      <c r="AP50" s="531" t="inlineStr">
        <is>
          <t xml:space="preserve">DM water cost for coolant, washing &amp; Leak </t>
        </is>
      </c>
      <c r="AQ50" s="531" t="n"/>
      <c r="AR50" s="235" t="n"/>
      <c r="AS50" s="353" t="inlineStr">
        <is>
          <t>S&amp;T</t>
        </is>
      </c>
      <c r="AT50" s="61" t="inlineStr">
        <is>
          <t>IMP Salvaging %</t>
        </is>
      </c>
      <c r="AU50" s="322" t="n"/>
      <c r="AV50" s="139" t="n"/>
      <c r="AW50" s="349" t="n"/>
    </row>
    <row r="51" ht="24" customHeight="1" s="517">
      <c r="B51" s="236" t="inlineStr">
        <is>
          <t>Melting furnace accessories cost 
(Fork lift, ATL, Degassing unit, Dross trolley, scrubber unit)</t>
        </is>
      </c>
      <c r="C51" s="601" t="n"/>
      <c r="D51" s="601" t="n"/>
      <c r="E51" s="372" t="n"/>
      <c r="F51" s="17" t="inlineStr">
        <is>
          <t>Shot blasting M/c Utilisation (%)</t>
        </is>
      </c>
      <c r="G51" s="388" t="n"/>
      <c r="I51" s="488" t="n"/>
      <c r="J51" s="492" t="inlineStr">
        <is>
          <t>Heat Treatment Furnace (incl crane)</t>
        </is>
      </c>
      <c r="K51" s="601" t="n"/>
      <c r="L51" s="273" t="n"/>
      <c r="M51" s="601" t="n"/>
      <c r="N51" s="339" t="inlineStr">
        <is>
          <t>-</t>
        </is>
      </c>
      <c r="O51" s="190" t="n"/>
      <c r="P51" s="488" t="n"/>
      <c r="Q51" s="496" t="inlineStr">
        <is>
          <t>Bend Removal Tool/ Fixture/ Gauge</t>
        </is>
      </c>
      <c r="R51" s="493" t="n"/>
      <c r="S51" s="609" t="n"/>
      <c r="T51" s="6" t="n"/>
      <c r="U51" s="389" t="inlineStr">
        <is>
          <t>Power rating (Kw/hr)</t>
        </is>
      </c>
      <c r="V51" s="531" t="n"/>
      <c r="W51" s="531" t="n"/>
      <c r="X51" s="631" t="n"/>
      <c r="Y51" s="632" t="n"/>
      <c r="Z51" s="142" t="n"/>
      <c r="AB51" s="531" t="inlineStr">
        <is>
          <t>BARCODE LABEL</t>
        </is>
      </c>
      <c r="AC51" s="160" t="n"/>
      <c r="AD51" s="341">
        <f>AC51*$W$5</f>
        <v/>
      </c>
      <c r="AE51" s="353" t="inlineStr">
        <is>
          <t>S&amp;T</t>
        </is>
      </c>
      <c r="AF51" s="61" t="inlineStr">
        <is>
          <t>Setup changeover considered (Y/ N)</t>
        </is>
      </c>
      <c r="AG51" s="322" t="n"/>
      <c r="AH51" s="139" t="n"/>
      <c r="AI51" s="349" t="n"/>
      <c r="AJ51" s="7" t="n"/>
      <c r="AK51" s="7" t="n"/>
      <c r="AL51" s="7" t="n"/>
      <c r="AM51" s="8" t="n"/>
      <c r="AP51" s="531" t="inlineStr">
        <is>
          <t>Barcode label recurring cost</t>
        </is>
      </c>
      <c r="AQ51" s="531" t="n"/>
      <c r="AR51" s="235" t="n"/>
      <c r="AS51" s="353" t="inlineStr">
        <is>
          <t>S&amp;T</t>
        </is>
      </c>
      <c r="AT51" s="61" t="inlineStr">
        <is>
          <t>Setup changeover considered (Y/ N)</t>
        </is>
      </c>
      <c r="AU51" s="322" t="n"/>
      <c r="AV51" s="139" t="n"/>
      <c r="AW51" s="349" t="n"/>
    </row>
    <row r="52" ht="25.5" customHeight="1" s="517">
      <c r="B52" s="236" t="inlineStr">
        <is>
          <t>Heat Treatment Furnace cost</t>
        </is>
      </c>
      <c r="C52" s="370" t="n"/>
      <c r="D52" s="601" t="n"/>
      <c r="E52" s="372" t="n"/>
      <c r="F52" s="17" t="inlineStr">
        <is>
          <t>Melting furnace capacity/ hr (Kg)</t>
        </is>
      </c>
      <c r="G52" s="386" t="n"/>
      <c r="I52" s="488" t="n"/>
      <c r="J52" s="492" t="inlineStr">
        <is>
          <t>Heat Treatment BatchCode Punching M/c</t>
        </is>
      </c>
      <c r="K52" s="601" t="n"/>
      <c r="L52" s="273" t="n"/>
      <c r="M52" s="601" t="n"/>
      <c r="N52" s="339" t="n"/>
      <c r="O52" s="190" t="n"/>
      <c r="P52" s="491" t="n"/>
      <c r="Q52" s="521" t="inlineStr">
        <is>
          <t>Others (if any) Profile Filter</t>
        </is>
      </c>
      <c r="R52" s="522" t="n"/>
      <c r="S52" s="609" t="n"/>
      <c r="T52" s="6" t="n"/>
      <c r="U52" s="392" t="inlineStr">
        <is>
          <t>Is it feasible to use M/cng cell operator for after assembly m/cng (Yes / No)</t>
        </is>
      </c>
      <c r="V52" s="486" t="n"/>
      <c r="W52" s="486" t="n"/>
      <c r="X52" s="247" t="n"/>
      <c r="Y52" s="248" t="n"/>
      <c r="Z52" s="142" t="n"/>
      <c r="AB52" s="531" t="inlineStr">
        <is>
          <t xml:space="preserve">Impregnation Basket cost </t>
        </is>
      </c>
      <c r="AC52" s="160" t="n"/>
      <c r="AD52" s="341">
        <f>AC52*$W$5</f>
        <v/>
      </c>
      <c r="AE52" s="342" t="n"/>
      <c r="AF52" s="61" t="inlineStr">
        <is>
          <t>No of variants planned / cell</t>
        </is>
      </c>
      <c r="AG52" s="322" t="n"/>
      <c r="AH52" s="139" t="n"/>
      <c r="AI52" s="355" t="n"/>
      <c r="AJ52" s="7" t="n"/>
      <c r="AK52" s="7" t="n"/>
      <c r="AL52" s="7" t="n"/>
      <c r="AM52" s="8" t="n"/>
      <c r="AP52" s="531" t="inlineStr">
        <is>
          <t xml:space="preserve">Impregnation Basket cost </t>
        </is>
      </c>
      <c r="AQ52" s="531" t="n"/>
      <c r="AR52" s="341" t="n"/>
      <c r="AS52" s="342" t="n"/>
      <c r="AT52" s="61" t="inlineStr">
        <is>
          <t>No of variants planned / cell</t>
        </is>
      </c>
      <c r="AU52" s="322" t="n"/>
      <c r="AV52" s="139" t="n"/>
      <c r="AW52" s="355" t="n"/>
    </row>
    <row r="53" ht="35.25" customHeight="1" s="517">
      <c r="B53" s="236" t="inlineStr">
        <is>
          <t>Heat Treatment Other accessories
(includes Batch code punching Press / Fixture/ Tool, Final Inspection, Other accessories etc)</t>
        </is>
      </c>
      <c r="C53" s="370" t="n"/>
      <c r="D53" s="370" t="n"/>
      <c r="E53" s="372" t="n"/>
      <c r="F53" s="17" t="inlineStr">
        <is>
          <t>Melting furnace Utilisation (%)</t>
        </is>
      </c>
      <c r="G53" s="633" t="n"/>
      <c r="I53" s="488" t="n"/>
      <c r="J53" s="521" t="inlineStr">
        <is>
          <t>Others (if any) F&amp;G</t>
        </is>
      </c>
      <c r="K53" s="634" t="n"/>
      <c r="L53" s="524" t="n"/>
      <c r="M53" s="634" t="n"/>
      <c r="N53" s="339" t="n"/>
      <c r="O53" s="190" t="n"/>
      <c r="P53" s="535" t="inlineStr">
        <is>
          <t>Common Facilities</t>
        </is>
      </c>
      <c r="Q53" s="510" t="inlineStr">
        <is>
          <t xml:space="preserve">Shot blasting Hanger </t>
        </is>
      </c>
      <c r="R53" s="503" t="n"/>
      <c r="S53" s="609" t="n"/>
      <c r="T53" s="6" t="n"/>
      <c r="U53" s="389" t="inlineStr">
        <is>
          <t>Manpower / shift/ cell</t>
        </is>
      </c>
      <c r="V53" s="531" t="n"/>
      <c r="W53" s="531" t="n"/>
      <c r="X53" s="635" t="n"/>
      <c r="Y53" s="606" t="n"/>
      <c r="Z53" s="142" t="n"/>
      <c r="AB53" s="396" t="n"/>
      <c r="AC53" s="160">
        <f>SUM(AC41:AC52)</f>
        <v/>
      </c>
      <c r="AD53" s="160">
        <f>SUM(AD41:AD52)</f>
        <v/>
      </c>
      <c r="AE53" s="7" t="n"/>
      <c r="AF53" s="7" t="n"/>
      <c r="AG53" s="7" t="n"/>
      <c r="AH53" s="7" t="n"/>
      <c r="AI53" s="336" t="n"/>
      <c r="AJ53" s="7" t="n"/>
      <c r="AK53" s="7" t="n"/>
      <c r="AL53" s="7" t="n"/>
      <c r="AM53" s="8" t="n"/>
      <c r="AP53" s="397" t="n"/>
      <c r="AQ53" s="7" t="n"/>
      <c r="AR53" s="7" t="n"/>
      <c r="AS53" s="7" t="n"/>
      <c r="AT53" s="7" t="n"/>
      <c r="AU53" s="7" t="n"/>
      <c r="AV53" s="7" t="n"/>
      <c r="AW53" s="336" t="n"/>
    </row>
    <row r="54" ht="25.5" customHeight="1" s="517">
      <c r="B54" s="236" t="inlineStr">
        <is>
          <t>HT Basket cost</t>
        </is>
      </c>
      <c r="C54" s="370" t="n"/>
      <c r="D54" s="370" t="n"/>
      <c r="E54" s="316" t="n"/>
      <c r="F54" s="17" t="inlineStr">
        <is>
          <t>HT No of parts/ loading (Tentative) (Nos)</t>
        </is>
      </c>
      <c r="G54" s="398" t="n"/>
      <c r="I54" s="491" t="n"/>
      <c r="J54" s="399" t="inlineStr">
        <is>
          <t xml:space="preserve">Total Investment </t>
        </is>
      </c>
      <c r="K54" s="400" t="n"/>
      <c r="L54" s="400" t="n"/>
      <c r="M54" s="636" t="n"/>
      <c r="N54" s="344" t="n"/>
      <c r="O54" s="190" t="n"/>
      <c r="P54" s="488" t="n"/>
      <c r="Q54" s="492" t="inlineStr">
        <is>
          <t>Stainless Steel shots for the volume</t>
        </is>
      </c>
      <c r="R54" s="493" t="n"/>
      <c r="S54" s="601" t="n"/>
      <c r="T54" s="6" t="n"/>
      <c r="U54" s="402" t="inlineStr">
        <is>
          <t>Floor space required for after assembly m/cng cell (Sq.m/ cell)</t>
        </is>
      </c>
      <c r="V54" s="105" t="n"/>
      <c r="W54" s="105" t="n"/>
      <c r="X54" s="637" t="n"/>
      <c r="Y54" s="638" t="n"/>
      <c r="Z54" s="142" t="n"/>
      <c r="AB54" s="397" t="n"/>
      <c r="AC54" s="405" t="n"/>
      <c r="AD54" s="406" t="n"/>
      <c r="AE54" s="7" t="n"/>
      <c r="AF54" s="7" t="n"/>
      <c r="AG54" s="7" t="n"/>
      <c r="AH54" s="7" t="n"/>
      <c r="AI54" s="336" t="n"/>
      <c r="AJ54" s="7" t="n"/>
      <c r="AK54" s="7" t="n"/>
      <c r="AL54" s="7" t="n"/>
      <c r="AM54" s="8" t="n"/>
      <c r="AP54" s="397" t="n"/>
      <c r="AQ54" s="405" t="n"/>
      <c r="AR54" s="406" t="n"/>
      <c r="AS54" s="7" t="n"/>
      <c r="AT54" s="7" t="n"/>
      <c r="AU54" s="7" t="n"/>
      <c r="AV54" s="7" t="n"/>
      <c r="AW54" s="336" t="n"/>
    </row>
    <row r="55" ht="18" customHeight="1" s="517">
      <c r="B55" s="407" t="inlineStr">
        <is>
          <t>Others (if any)</t>
        </is>
      </c>
      <c r="C55" s="639" t="n"/>
      <c r="D55" s="640" t="n"/>
      <c r="E55" s="410" t="n"/>
      <c r="F55" s="17" t="inlineStr">
        <is>
          <t>HT furnace Utilisation (%)</t>
        </is>
      </c>
      <c r="G55" s="398" t="n"/>
      <c r="I55" s="519" t="inlineStr">
        <is>
          <t>Die</t>
        </is>
      </c>
      <c r="J55" s="554" t="inlineStr">
        <is>
          <t>Die and corebox (if any) cost (Rs. Lac)</t>
        </is>
      </c>
      <c r="K55" s="484" t="n"/>
      <c r="L55" s="411" t="n"/>
      <c r="M55" s="411" t="n"/>
      <c r="N55" s="412" t="n"/>
      <c r="O55" s="641">
        <f>N54-N48</f>
        <v/>
      </c>
      <c r="P55" s="488" t="n"/>
      <c r="Q55" s="492" t="inlineStr">
        <is>
          <t>HT Batch Code Punching Fixture</t>
        </is>
      </c>
      <c r="R55" s="493" t="n"/>
      <c r="S55" s="601" t="n"/>
      <c r="T55" s="6" t="n"/>
      <c r="U55" s="414" t="inlineStr">
        <is>
          <t>Cell</t>
        </is>
      </c>
      <c r="V55" s="415" t="n"/>
      <c r="W55" s="416" t="n"/>
      <c r="X55" s="637" t="n"/>
      <c r="Y55" s="416" t="n"/>
      <c r="Z55" s="417" t="n"/>
      <c r="AA55" s="417" t="n"/>
      <c r="AB55" s="417" t="n"/>
      <c r="AC55" s="418" t="inlineStr">
        <is>
          <t>Mac. S&amp;T. Per kg</t>
        </is>
      </c>
      <c r="AD55" s="419">
        <f>SUM(AD49:AD52)*100000/G4/G9</f>
        <v/>
      </c>
      <c r="AE55" s="320" t="n"/>
      <c r="AF55" s="320" t="n"/>
      <c r="AG55" s="320" t="n"/>
      <c r="AH55" s="320" t="n"/>
      <c r="AI55" s="420" t="n"/>
      <c r="AJ55" s="7" t="n"/>
      <c r="AK55" s="7" t="n"/>
      <c r="AL55" s="7" t="n"/>
      <c r="AM55" s="8" t="n"/>
      <c r="AP55" s="417" t="n"/>
      <c r="AQ55" s="421" t="n"/>
      <c r="AR55" s="422" t="n"/>
      <c r="AS55" s="320" t="n"/>
      <c r="AT55" s="320" t="n"/>
      <c r="AU55" s="320" t="n"/>
      <c r="AV55" s="320" t="n"/>
      <c r="AW55" s="420" t="n"/>
    </row>
    <row r="56" ht="20.25" customHeight="1" s="517">
      <c r="B56" s="350" t="inlineStr">
        <is>
          <t>Total investment/ cell (Rs. Lac)</t>
        </is>
      </c>
      <c r="C56" s="642">
        <f>SUM(C48:C55)*V5</f>
        <v/>
      </c>
      <c r="D56" s="642">
        <f>IFERROR(SUM(D48:D55)*W5,0)</f>
        <v/>
      </c>
      <c r="E56" s="424" t="n"/>
      <c r="F56" s="119" t="inlineStr">
        <is>
          <t>Others (if any)</t>
        </is>
      </c>
      <c r="G56" s="398" t="n"/>
      <c r="I56" s="488" t="n"/>
      <c r="J56" s="482" t="inlineStr">
        <is>
          <t>Die life (shots)</t>
        </is>
      </c>
      <c r="K56" s="483" t="n"/>
      <c r="L56" s="483" t="n"/>
      <c r="M56" s="484" t="n"/>
      <c r="N56" s="643" t="n"/>
      <c r="O56" s="426" t="n"/>
      <c r="P56" s="491" t="n"/>
      <c r="Q56" s="521" t="inlineStr">
        <is>
          <t>HT Basket cost</t>
        </is>
      </c>
      <c r="R56" s="522" t="n"/>
      <c r="S56" s="601" t="n"/>
      <c r="T56" s="6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8" t="n"/>
    </row>
    <row r="57" ht="13.5" customHeight="1" s="517">
      <c r="B57" s="256" t="n"/>
      <c r="C57" s="644" t="n"/>
      <c r="D57" s="644" t="n"/>
      <c r="E57" s="428" t="n"/>
      <c r="F57" s="429" t="inlineStr">
        <is>
          <t>Similar part/ Estimation referred</t>
        </is>
      </c>
      <c r="G57" s="430" t="inlineStr">
        <is>
          <t>-</t>
        </is>
      </c>
      <c r="I57" s="491" t="n"/>
      <c r="J57" s="531" t="inlineStr">
        <is>
          <t>Core box life (shots)</t>
        </is>
      </c>
      <c r="K57" s="483" t="n"/>
      <c r="L57" s="483" t="n"/>
      <c r="M57" s="484" t="n"/>
      <c r="N57" s="643" t="n"/>
      <c r="O57" s="426" t="n"/>
      <c r="P57" s="490" t="inlineStr">
        <is>
          <t>Die</t>
        </is>
      </c>
      <c r="Q57" s="510" t="inlineStr">
        <is>
          <t>Jet Cooling cost (Die Temp. Contr)</t>
        </is>
      </c>
      <c r="R57" s="503" t="n"/>
      <c r="S57" s="645" t="n"/>
      <c r="T57" s="6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8" t="n"/>
    </row>
    <row r="58" ht="15" customHeight="1" s="517">
      <c r="E58" s="41" t="n"/>
      <c r="F58" s="429" t="inlineStr">
        <is>
          <t>Discussed with</t>
        </is>
      </c>
      <c r="G58" s="430" t="inlineStr">
        <is>
          <t>KD/ MR</t>
        </is>
      </c>
      <c r="I58" s="432" t="n"/>
      <c r="J58" s="433" t="inlineStr">
        <is>
          <t>Testing Cost Details:   ( in Rs. only)</t>
        </is>
      </c>
      <c r="K58" s="328" t="n"/>
      <c r="L58" s="328" t="n"/>
      <c r="M58" s="328" t="n"/>
      <c r="N58" s="434" t="n"/>
      <c r="O58" s="435" t="n"/>
      <c r="P58" s="491" t="n"/>
      <c r="Q58" s="521" t="inlineStr">
        <is>
          <t xml:space="preserve">Die service consumable </t>
        </is>
      </c>
      <c r="R58" s="522" t="n"/>
      <c r="S58" s="646" t="n"/>
      <c r="T58" s="6" t="n"/>
      <c r="AB58" s="437" t="inlineStr">
        <is>
          <t>Lump sum</t>
        </is>
      </c>
      <c r="AC58" s="438" t="n"/>
      <c r="AD58" s="438" t="inlineStr">
        <is>
          <t>Rs L</t>
        </is>
      </c>
      <c r="AE58" s="7" t="n"/>
      <c r="AF58" s="7" t="n"/>
      <c r="AG58" s="7" t="n"/>
      <c r="AH58" s="7" t="n"/>
      <c r="AI58" s="7" t="n"/>
      <c r="AJ58" s="7" t="n"/>
      <c r="AK58" s="7" t="n"/>
      <c r="AL58" s="7" t="n"/>
      <c r="AM58" s="8" t="n"/>
      <c r="AQ58" s="439" t="inlineStr">
        <is>
          <t>Capex Summary</t>
        </is>
      </c>
      <c r="AR58" s="440" t="inlineStr">
        <is>
          <t>Amount</t>
        </is>
      </c>
    </row>
    <row r="59" ht="12.75" customHeight="1" s="517">
      <c r="B59" s="439" t="inlineStr">
        <is>
          <t>Capex Summary</t>
        </is>
      </c>
      <c r="C59" s="441" t="inlineStr">
        <is>
          <t>Amount in Rs. In L</t>
        </is>
      </c>
      <c r="E59" s="41" t="n"/>
      <c r="F59" s="442" t="n"/>
      <c r="G59" s="443" t="n"/>
      <c r="I59" s="444" t="n"/>
      <c r="J59" s="504" t="inlineStr">
        <is>
          <t>Chemical Testing cost/ part</t>
        </is>
      </c>
      <c r="K59" s="502" t="n"/>
      <c r="L59" s="502" t="n"/>
      <c r="M59" s="505" t="n"/>
      <c r="N59" s="445" t="n"/>
      <c r="O59" s="426" t="n"/>
      <c r="P59" s="446" t="n"/>
      <c r="Q59" s="543" t="inlineStr">
        <is>
          <t xml:space="preserve">Total Investment </t>
        </is>
      </c>
      <c r="R59" s="484" t="n"/>
      <c r="S59" s="647" t="n"/>
      <c r="T59" s="6">
        <f>58.2*W5</f>
        <v/>
      </c>
      <c r="AB59" s="448" t="inlineStr">
        <is>
          <t>Die Casting - Fixtures &amp; Gauges</t>
        </is>
      </c>
      <c r="AC59" s="25" t="n"/>
      <c r="AD59" s="648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8" t="n"/>
    </row>
    <row r="60" ht="21" customHeight="1" s="517">
      <c r="B60" s="450" t="inlineStr">
        <is>
          <t>PDC Machine</t>
        </is>
      </c>
      <c r="C60" s="451">
        <f>SUM(C26:D26)</f>
        <v/>
      </c>
      <c r="D60" s="16" t="n"/>
      <c r="E60" s="41" t="inlineStr">
        <is>
          <t>DC</t>
        </is>
      </c>
      <c r="G60" s="452">
        <f>C60</f>
        <v/>
      </c>
      <c r="I60" s="134" t="n"/>
      <c r="J60" s="506" t="inlineStr">
        <is>
          <t>X Ray Testing cost / part</t>
        </is>
      </c>
      <c r="K60" s="507" t="n"/>
      <c r="L60" s="507" t="n"/>
      <c r="M60" s="508" t="n"/>
      <c r="N60" s="453" t="n"/>
      <c r="O60" s="426" t="n"/>
      <c r="P60" s="328" t="inlineStr">
        <is>
          <t>Power Rating Details: (Kw/hr)</t>
        </is>
      </c>
      <c r="Q60" s="328" t="n"/>
      <c r="R60" s="328" t="n"/>
      <c r="S60" s="435" t="n"/>
      <c r="T60" s="6" t="n"/>
      <c r="AB60" s="448" t="inlineStr">
        <is>
          <t>Machining-CMM Fixtures</t>
        </is>
      </c>
      <c r="AC60" s="25" t="n"/>
      <c r="AD60" s="648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8" t="n"/>
    </row>
    <row r="61" ht="21" customHeight="1" s="517">
      <c r="B61" s="450" t="n"/>
      <c r="C61" s="451" t="n"/>
      <c r="D61" s="16" t="n"/>
      <c r="E61" s="41" t="n"/>
      <c r="G61" s="452" t="n"/>
      <c r="I61" s="134" t="n"/>
      <c r="J61" s="506" t="n"/>
      <c r="K61" s="455" t="n"/>
      <c r="L61" s="455" t="n"/>
      <c r="M61" s="455" t="n"/>
      <c r="N61" s="453" t="n"/>
      <c r="O61" s="426" t="n"/>
      <c r="P61" s="328" t="n"/>
      <c r="Q61" s="328" t="n"/>
      <c r="R61" s="328" t="n"/>
      <c r="S61" s="435" t="n"/>
      <c r="T61" s="6" t="n"/>
      <c r="AB61" s="448" t="inlineStr">
        <is>
          <t>Child part tool development</t>
        </is>
      </c>
      <c r="AC61" s="25" t="n"/>
      <c r="AD61" s="648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8" t="n"/>
    </row>
    <row r="62" ht="20.25" customHeight="1" s="517">
      <c r="B62" s="450" t="inlineStr">
        <is>
          <t>GDC or PDC Robot/ Automation</t>
        </is>
      </c>
      <c r="C62" s="451">
        <f>SUM(C36)+SUM(N40:N41)</f>
        <v/>
      </c>
      <c r="D62" s="16" t="n"/>
      <c r="E62" s="41" t="inlineStr">
        <is>
          <t>DC</t>
        </is>
      </c>
      <c r="I62" s="134" t="n"/>
      <c r="J62" s="523" t="inlineStr">
        <is>
          <t>Tensile Testing cost / part</t>
        </is>
      </c>
      <c r="K62" s="507" t="n"/>
      <c r="L62" s="507" t="n"/>
      <c r="M62" s="508" t="n"/>
      <c r="N62" s="453" t="n"/>
      <c r="O62" s="426" t="n"/>
      <c r="P62" s="513" t="inlineStr">
        <is>
          <t>Casting Cell
(Incl Core shoot, Decore, Holding furnace, Casting, Power pack, Cutting, Linishing, Robot, Extractor)</t>
        </is>
      </c>
      <c r="Q62" s="514" t="n"/>
      <c r="R62" s="515" t="n"/>
      <c r="S62" s="605" t="n"/>
      <c r="T62" s="6" t="n"/>
      <c r="Z62" s="6" t="n"/>
      <c r="AB62" s="456" t="inlineStr">
        <is>
          <t>Total</t>
        </is>
      </c>
      <c r="AC62" s="457" t="n"/>
      <c r="AD62" s="649">
        <f>SUM(AD59:AD61)</f>
        <v/>
      </c>
      <c r="AE62" s="7" t="n"/>
      <c r="AF62" s="7" t="n"/>
      <c r="AG62" s="7" t="n"/>
      <c r="AH62" s="7" t="n"/>
      <c r="AI62" s="7" t="n"/>
      <c r="AJ62" s="7" t="n"/>
      <c r="AK62" s="7" t="n"/>
      <c r="AL62" s="7" t="n"/>
      <c r="AM62" s="8" t="n"/>
    </row>
    <row r="63" ht="21" customHeight="1" s="517">
      <c r="B63" s="450" t="inlineStr">
        <is>
          <t>Machines- Material handling</t>
        </is>
      </c>
      <c r="C63" s="451">
        <f>SUM(C37:D38)+SUM(S30:S32)</f>
        <v/>
      </c>
      <c r="D63" s="16" t="n"/>
      <c r="E63" s="41" t="inlineStr">
        <is>
          <t>MHC</t>
        </is>
      </c>
      <c r="G63" s="29">
        <f>C63</f>
        <v/>
      </c>
      <c r="I63" s="134" t="n"/>
      <c r="J63" s="523" t="inlineStr">
        <is>
          <t>Microstructure Testing cost / part</t>
        </is>
      </c>
      <c r="K63" s="507" t="n"/>
      <c r="L63" s="507" t="n"/>
      <c r="M63" s="508" t="n"/>
      <c r="N63" s="453" t="n"/>
      <c r="O63" s="426" t="n"/>
      <c r="P63" s="516" t="n"/>
      <c r="R63" s="518" t="n"/>
      <c r="S63" s="491" t="n"/>
      <c r="T63" s="459" t="inlineStr">
        <is>
          <t>(2 Holding furnace)</t>
        </is>
      </c>
      <c r="Z63" s="6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8" t="n"/>
    </row>
    <row r="64" ht="41.25" customHeight="1" s="517">
      <c r="B64" s="450" t="inlineStr">
        <is>
          <t>GDC Machine</t>
        </is>
      </c>
      <c r="C64" s="451">
        <f>SUM(N28:N32)+SUM(N45:N47)+SUM(N42:N44)</f>
        <v/>
      </c>
      <c r="D64" s="16" t="n"/>
      <c r="E64" s="41" t="inlineStr">
        <is>
          <t>GDC</t>
        </is>
      </c>
      <c r="I64" s="460" t="n"/>
      <c r="J64" s="523" t="inlineStr">
        <is>
          <t>Hardness Testing cost / part</t>
        </is>
      </c>
      <c r="K64" s="507" t="n"/>
      <c r="L64" s="507" t="n"/>
      <c r="M64" s="508" t="n"/>
      <c r="N64" s="453" t="n"/>
      <c r="O64" s="461" t="n"/>
      <c r="P64" s="537" t="inlineStr">
        <is>
          <t>Meltng. Furn. Capacity
(Furnace power rating +  scrupper power rating)</t>
        </is>
      </c>
      <c r="Q64" s="495" t="n"/>
      <c r="R64" s="462" t="n"/>
      <c r="S64" s="605" t="n"/>
      <c r="T64" s="6" t="n"/>
      <c r="Z64" s="6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8" t="n"/>
    </row>
    <row r="65" ht="18.75" customHeight="1" s="517">
      <c r="B65" s="450" t="inlineStr">
        <is>
          <t>Melting furnace</t>
        </is>
      </c>
      <c r="C65" s="451">
        <f>SUM(C50:D51)+N49+N50</f>
        <v/>
      </c>
      <c r="D65" s="16" t="n"/>
      <c r="E65" s="41" t="inlineStr">
        <is>
          <t>DC</t>
        </is>
      </c>
      <c r="G65" s="452">
        <f>C65</f>
        <v/>
      </c>
      <c r="I65" s="134" t="n"/>
      <c r="J65" s="523" t="inlineStr">
        <is>
          <t>3D Inspection cost / part</t>
        </is>
      </c>
      <c r="K65" s="507" t="n"/>
      <c r="L65" s="507" t="n"/>
      <c r="M65" s="508" t="n"/>
      <c r="N65" s="453" t="n"/>
      <c r="O65" s="426" t="n"/>
      <c r="P65" s="520" t="inlineStr">
        <is>
          <t>Heat treatment</t>
        </is>
      </c>
      <c r="Q65" s="483" t="n"/>
      <c r="R65" s="484" t="n"/>
      <c r="S65" s="605" t="n"/>
      <c r="T65" s="6" t="n"/>
      <c r="Z65" s="6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8" t="n"/>
    </row>
    <row r="66" ht="18.75" customHeight="1" s="517">
      <c r="B66" s="450" t="inlineStr">
        <is>
          <t>Fettling</t>
        </is>
      </c>
      <c r="C66" s="451">
        <f>SUM(C27:D32)+SUM(C40:D44)+SUM(N33:N38)-D27</f>
        <v/>
      </c>
      <c r="D66" s="16" t="n"/>
      <c r="E66" s="41" t="inlineStr">
        <is>
          <t>DC</t>
        </is>
      </c>
      <c r="G66" s="452">
        <f>C66</f>
        <v/>
      </c>
      <c r="I66" s="134" t="n"/>
      <c r="J66" s="523" t="inlineStr">
        <is>
          <t>Porosity Testing cost / part</t>
        </is>
      </c>
      <c r="K66" s="507" t="n"/>
      <c r="L66" s="507" t="n"/>
      <c r="M66" s="508" t="n"/>
      <c r="N66" s="453" t="n"/>
      <c r="O66" s="426" t="n"/>
      <c r="P66" s="520" t="inlineStr">
        <is>
          <t>Shot blasting</t>
        </is>
      </c>
      <c r="Q66" s="483" t="n"/>
      <c r="R66" s="484" t="n"/>
      <c r="S66" s="605" t="n"/>
      <c r="T66" s="6" t="n"/>
      <c r="Z66" s="6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8" t="n"/>
    </row>
    <row r="67" ht="18.75" customHeight="1" s="517">
      <c r="B67" s="450" t="inlineStr">
        <is>
          <t>Fettling- Tools- 3 Years</t>
        </is>
      </c>
      <c r="C67" s="451">
        <f>S33+S36+S40+S47+D27</f>
        <v/>
      </c>
      <c r="D67" s="16" t="n"/>
      <c r="E67" s="41" t="inlineStr">
        <is>
          <t>TC</t>
        </is>
      </c>
      <c r="F67" s="5" t="n"/>
      <c r="I67" s="134" t="n"/>
      <c r="J67" s="497" t="inlineStr">
        <is>
          <t>Insert testing</t>
        </is>
      </c>
      <c r="K67" s="498" t="n"/>
      <c r="L67" s="498" t="n"/>
      <c r="M67" s="499" t="n"/>
      <c r="N67" s="463" t="n"/>
      <c r="O67" s="426" t="n"/>
      <c r="P67" s="544" t="inlineStr">
        <is>
          <t>Discussed with: MOHAN / SATHISH</t>
        </is>
      </c>
      <c r="Q67" s="483" t="n"/>
      <c r="R67" s="483" t="n"/>
      <c r="S67" s="484" t="n"/>
      <c r="T67" s="6" t="n"/>
      <c r="Z67" s="6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8" t="n"/>
    </row>
    <row r="68" ht="18.75" customHeight="1" s="517">
      <c r="B68" s="450" t="inlineStr">
        <is>
          <t>Fettling- Tools- 5 Years</t>
        </is>
      </c>
      <c r="C68" s="451">
        <f>C34+D34+S43+S45</f>
        <v/>
      </c>
      <c r="D68" s="16" t="n"/>
      <c r="E68" s="41" t="inlineStr">
        <is>
          <t>TC</t>
        </is>
      </c>
      <c r="F68" s="5" t="n"/>
      <c r="I68" s="319" t="n"/>
      <c r="J68" s="533" t="inlineStr">
        <is>
          <t>Others (if any)</t>
        </is>
      </c>
      <c r="K68" s="483" t="n"/>
      <c r="L68" s="483" t="n"/>
      <c r="M68" s="534" t="n"/>
      <c r="N68" s="463" t="n"/>
      <c r="O68" s="464" t="n"/>
      <c r="P68" s="547" t="inlineStr">
        <is>
          <t xml:space="preserve">Similar part/ Estn referred: </t>
        </is>
      </c>
      <c r="Q68" s="514" t="n"/>
      <c r="R68" s="514" t="n"/>
      <c r="S68" s="515" t="n"/>
      <c r="T68" s="6" t="n"/>
      <c r="Z68" s="6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8" t="n"/>
    </row>
    <row r="69" ht="18.75" customHeight="1" s="517">
      <c r="B69" s="450" t="inlineStr">
        <is>
          <t>Fettling- Mat handling</t>
        </is>
      </c>
      <c r="C69" s="451">
        <f>S34+S35+S37+S38+S39+S41+S42+S46+S49+S50</f>
        <v/>
      </c>
      <c r="D69" s="16" t="n"/>
      <c r="E69" s="41" t="inlineStr">
        <is>
          <t>MHC</t>
        </is>
      </c>
      <c r="G69" s="29">
        <f>C69</f>
        <v/>
      </c>
      <c r="J69" s="509" t="inlineStr">
        <is>
          <t>Total Testing Cost/ Part</t>
        </is>
      </c>
      <c r="K69" s="483" t="n"/>
      <c r="L69" s="483" t="n"/>
      <c r="M69" s="484" t="n"/>
      <c r="N69" s="465">
        <f>(SUM(N59:N68))</f>
        <v/>
      </c>
      <c r="O69" s="466">
        <f>101.8*W5</f>
        <v/>
      </c>
      <c r="T69" s="6" t="n"/>
      <c r="Z69" s="6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8" t="n"/>
    </row>
    <row r="70" ht="18.75" customHeight="1" s="517">
      <c r="B70" s="450" t="inlineStr">
        <is>
          <t xml:space="preserve">Core making </t>
        </is>
      </c>
      <c r="C70" s="650">
        <f>SUM(N23:N27)</f>
        <v/>
      </c>
      <c r="D70" s="16" t="n"/>
      <c r="E70" s="41" t="inlineStr">
        <is>
          <t>CM</t>
        </is>
      </c>
      <c r="N70" s="8" t="n"/>
      <c r="O70" s="6" t="n"/>
      <c r="T70" s="6" t="n"/>
      <c r="Z70" s="6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8" t="n"/>
    </row>
    <row r="71" ht="18.75" customHeight="1" s="517">
      <c r="B71" s="450" t="inlineStr">
        <is>
          <t>Core making - Material Handling</t>
        </is>
      </c>
      <c r="C71" s="650">
        <f>SUM(S23:S27)</f>
        <v/>
      </c>
      <c r="D71" s="16" t="n"/>
      <c r="E71" s="41" t="inlineStr">
        <is>
          <t>MHC</t>
        </is>
      </c>
      <c r="G71" s="29">
        <f>C71</f>
        <v/>
      </c>
      <c r="N71" s="8" t="n"/>
      <c r="O71" s="6" t="n"/>
      <c r="T71" s="6" t="n"/>
      <c r="Z71" s="6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8" t="n"/>
    </row>
    <row r="72" ht="18.75" customHeight="1" s="517">
      <c r="B72" s="450" t="inlineStr">
        <is>
          <t>Core making - Tools- 3 Years</t>
        </is>
      </c>
      <c r="C72" s="650" t="n"/>
      <c r="D72" s="16" t="n"/>
      <c r="E72" s="41" t="inlineStr">
        <is>
          <t>TC</t>
        </is>
      </c>
      <c r="N72" s="8" t="n"/>
      <c r="O72" s="6" t="n"/>
      <c r="T72" s="6" t="n"/>
      <c r="Z72" s="6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8" t="n"/>
    </row>
    <row r="73" ht="18.75" customHeight="1" s="517">
      <c r="B73" s="450" t="inlineStr">
        <is>
          <t>Core making - Tools- 5 Years</t>
        </is>
      </c>
      <c r="C73" s="650">
        <f>S28+S29</f>
        <v/>
      </c>
      <c r="D73" s="16" t="n"/>
      <c r="E73" s="41" t="inlineStr">
        <is>
          <t>TC</t>
        </is>
      </c>
      <c r="N73" s="8" t="n"/>
      <c r="O73" s="6" t="n"/>
      <c r="T73" s="6" t="n"/>
      <c r="Z73" s="6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8" t="n"/>
    </row>
    <row r="74" ht="18.75" customHeight="1" s="517">
      <c r="B74" s="450" t="inlineStr">
        <is>
          <t>Alumina Blasting</t>
        </is>
      </c>
      <c r="C74" s="468" t="n"/>
      <c r="D74" s="16" t="n"/>
      <c r="E74" s="41" t="n"/>
      <c r="N74" s="8" t="n"/>
      <c r="O74" s="6" t="n"/>
      <c r="T74" s="6" t="n"/>
      <c r="Z74" s="6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8" t="n"/>
    </row>
    <row r="75" ht="18.75" customHeight="1" s="517">
      <c r="B75" s="450" t="inlineStr">
        <is>
          <t>Shot Blasting</t>
        </is>
      </c>
      <c r="C75" s="451">
        <f>SUM(C48:D48)+N48</f>
        <v/>
      </c>
      <c r="D75" s="16" t="n"/>
      <c r="E75" s="41" t="inlineStr">
        <is>
          <t>SB</t>
        </is>
      </c>
      <c r="G75" s="452">
        <f>C75</f>
        <v/>
      </c>
      <c r="N75" s="8" t="n"/>
      <c r="O75" s="6" t="n"/>
      <c r="T75" s="6" t="n"/>
      <c r="Z75" s="6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8" t="n"/>
    </row>
    <row r="76" ht="18.75" customHeight="1" s="517">
      <c r="B76" s="450" t="inlineStr">
        <is>
          <t>Shot Blasting- Material handling</t>
        </is>
      </c>
      <c r="C76" s="451">
        <f>+S53</f>
        <v/>
      </c>
      <c r="D76" s="16" t="n"/>
      <c r="E76" s="41" t="inlineStr">
        <is>
          <t>MHC</t>
        </is>
      </c>
      <c r="G76" s="29">
        <f>C76</f>
        <v/>
      </c>
      <c r="N76" s="8" t="n"/>
      <c r="O76" s="6" t="n"/>
      <c r="T76" s="6" t="n"/>
      <c r="Z76" s="6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8" t="n"/>
    </row>
    <row r="77" ht="18.75" customHeight="1" s="517">
      <c r="B77" s="450" t="inlineStr">
        <is>
          <t>Heat Treatment</t>
        </is>
      </c>
      <c r="C77" s="451">
        <f>SUM(C52:D54)+SUM(N51:N53)</f>
        <v/>
      </c>
      <c r="D77" s="16" t="n"/>
      <c r="E77" s="41" t="inlineStr">
        <is>
          <t>HT</t>
        </is>
      </c>
      <c r="G77" s="29">
        <f>C77</f>
        <v/>
      </c>
      <c r="N77" s="8" t="n"/>
      <c r="O77" s="6" t="n"/>
      <c r="T77" s="6" t="n"/>
      <c r="Z77" s="6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8" t="n"/>
    </row>
    <row r="78" ht="18.75" customHeight="1" s="517">
      <c r="B78" s="450" t="inlineStr">
        <is>
          <t>Heat Treatment- Material handling</t>
        </is>
      </c>
      <c r="C78" s="451">
        <f>+SUM(S55:S56)</f>
        <v/>
      </c>
      <c r="D78" s="16" t="n"/>
      <c r="E78" s="41" t="inlineStr">
        <is>
          <t>MHC</t>
        </is>
      </c>
      <c r="G78" s="29">
        <f>C78</f>
        <v/>
      </c>
      <c r="N78" s="8" t="n"/>
      <c r="O78" s="6" t="n"/>
      <c r="T78" s="6" t="n"/>
      <c r="Z78" s="6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8" t="n"/>
    </row>
    <row r="79" ht="18.75" customHeight="1" s="517">
      <c r="B79" s="469" t="inlineStr">
        <is>
          <t>Bend Removal</t>
        </is>
      </c>
      <c r="C79" s="451">
        <f>C33+N39</f>
        <v/>
      </c>
      <c r="D79" s="16" t="n"/>
      <c r="E79" s="41" t="inlineStr">
        <is>
          <t>DC</t>
        </is>
      </c>
      <c r="G79" s="452">
        <f>C79</f>
        <v/>
      </c>
      <c r="N79" s="8" t="n"/>
      <c r="O79" s="6" t="n"/>
      <c r="T79" s="6" t="n"/>
      <c r="Z79" s="6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8" t="n"/>
    </row>
    <row r="80" ht="18.75" customHeight="1" s="517">
      <c r="B80" s="450" t="inlineStr">
        <is>
          <t>Bend removal- Tools- 5 years</t>
        </is>
      </c>
      <c r="C80" s="451">
        <f>+S51+D33</f>
        <v/>
      </c>
      <c r="D80" s="16" t="n"/>
      <c r="E80" s="41" t="inlineStr">
        <is>
          <t>MHC</t>
        </is>
      </c>
      <c r="F80" s="5" t="n"/>
      <c r="N80" s="8" t="n"/>
      <c r="O80" s="6" t="n"/>
      <c r="T80" s="6" t="n"/>
      <c r="Z80" s="6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8" t="n"/>
    </row>
    <row r="81" ht="29.25" customHeight="1" s="517">
      <c r="B81" s="450" t="inlineStr">
        <is>
          <t>Bend removal- Material handling</t>
        </is>
      </c>
      <c r="C81" s="451" t="n"/>
      <c r="D81" s="16" t="n"/>
      <c r="E81" s="41" t="inlineStr">
        <is>
          <t>TC</t>
        </is>
      </c>
      <c r="N81" s="8" t="n"/>
      <c r="O81" s="6" t="n"/>
      <c r="T81" s="6" t="n"/>
      <c r="Z81" s="6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8" t="n"/>
    </row>
    <row r="82" ht="18.75" customHeight="1" s="517">
      <c r="B82" s="450" t="inlineStr">
        <is>
          <t>Impregnation</t>
        </is>
      </c>
      <c r="C82" s="468" t="n"/>
      <c r="E82" s="41" t="n"/>
      <c r="N82" s="8" t="n"/>
      <c r="O82" s="6" t="n"/>
      <c r="T82" s="6" t="n"/>
      <c r="Z82" s="6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8" t="n"/>
    </row>
    <row r="83" ht="18.75" customHeight="1" s="517">
      <c r="B83" s="450" t="inlineStr">
        <is>
          <t>Painting</t>
        </is>
      </c>
      <c r="C83" s="468" t="n"/>
      <c r="E83" s="41" t="n"/>
      <c r="F83" s="29" t="n"/>
      <c r="N83" s="8" t="n"/>
      <c r="O83" s="6" t="n"/>
      <c r="T83" s="6" t="n"/>
      <c r="Z83" s="6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8" t="n"/>
    </row>
    <row r="84" ht="18.75" customHeight="1" s="517">
      <c r="B84" s="450" t="inlineStr">
        <is>
          <t>ED Coating</t>
        </is>
      </c>
      <c r="C84" s="468" t="n"/>
      <c r="E84" s="41" t="n"/>
      <c r="F84" s="29" t="n"/>
      <c r="N84" s="8" t="n"/>
      <c r="O84" s="6" t="n"/>
      <c r="T84" s="6" t="n"/>
      <c r="Z84" s="6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8" t="n"/>
    </row>
    <row r="85" ht="18.75" customHeight="1" s="517">
      <c r="B85" s="450" t="inlineStr">
        <is>
          <t>DM Water - Casting Machine</t>
        </is>
      </c>
      <c r="C85" s="470">
        <f>SUM(C35:D35)</f>
        <v/>
      </c>
      <c r="D85" s="16" t="n"/>
      <c r="E85" s="41" t="inlineStr">
        <is>
          <t>TC</t>
        </is>
      </c>
      <c r="F85" s="29" t="n"/>
      <c r="N85" s="8" t="n"/>
      <c r="O85" s="6" t="n"/>
      <c r="T85" s="6" t="n"/>
      <c r="Z85" s="6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8" t="n"/>
    </row>
    <row r="86" ht="18.75" customHeight="1" s="517">
      <c r="B86" s="450" t="inlineStr">
        <is>
          <t>Assembly</t>
        </is>
      </c>
      <c r="C86" s="451">
        <f>+SUM(W17:X21)</f>
        <v/>
      </c>
      <c r="D86" s="16" t="n"/>
      <c r="E86" s="41" t="inlineStr">
        <is>
          <t>AY/MC</t>
        </is>
      </c>
      <c r="F86" s="471" t="n"/>
      <c r="G86" s="29">
        <f>C86</f>
        <v/>
      </c>
      <c r="N86" s="8" t="n"/>
      <c r="O86" s="6" t="n"/>
      <c r="T86" s="6" t="n"/>
      <c r="Z86" s="6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8" t="n"/>
    </row>
    <row r="87" ht="18.75" customHeight="1" s="517">
      <c r="B87" s="450" t="inlineStr">
        <is>
          <t>Assembly Material handling</t>
        </is>
      </c>
      <c r="C87" s="451">
        <f>W22+X22</f>
        <v/>
      </c>
      <c r="D87" s="16" t="n"/>
      <c r="E87" s="41" t="inlineStr">
        <is>
          <t>MHC</t>
        </is>
      </c>
      <c r="G87" s="29">
        <f>C87</f>
        <v/>
      </c>
      <c r="N87" s="8" t="n"/>
      <c r="O87" s="6" t="n"/>
      <c r="T87" s="6" t="n"/>
      <c r="Z87" s="6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8" t="n"/>
    </row>
    <row r="88" ht="18.75" customHeight="1" s="517">
      <c r="B88" s="450" t="inlineStr">
        <is>
          <t>Assembly Tools</t>
        </is>
      </c>
      <c r="C88" s="451" t="n"/>
      <c r="D88" s="16" t="n"/>
      <c r="E88" s="41" t="inlineStr">
        <is>
          <t>TC</t>
        </is>
      </c>
      <c r="N88" s="8" t="n"/>
      <c r="O88" s="6" t="n"/>
      <c r="T88" s="6" t="n"/>
      <c r="Z88" s="6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8" t="n"/>
    </row>
    <row r="89" ht="18.75" customHeight="1" s="517">
      <c r="B89" s="450" t="inlineStr">
        <is>
          <t>Machining- Machines</t>
        </is>
      </c>
      <c r="C89" s="451">
        <f>SUM(AI18:AI34)+AI36</f>
        <v/>
      </c>
      <c r="D89" s="16" t="n"/>
      <c r="E89" s="41" t="inlineStr">
        <is>
          <t>AY/MC</t>
        </is>
      </c>
      <c r="G89" s="29">
        <f>C89</f>
        <v/>
      </c>
      <c r="N89" s="8" t="n"/>
      <c r="O89" s="6" t="n"/>
      <c r="T89" s="6" t="n"/>
      <c r="Z89" s="6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8" t="n"/>
    </row>
    <row r="90" ht="18.75" customHeight="1" s="517">
      <c r="A90" s="16" t="n"/>
      <c r="B90" s="450" t="inlineStr">
        <is>
          <t>Machining- Robot/ Automation</t>
        </is>
      </c>
      <c r="C90" s="451">
        <f>AI35</f>
        <v/>
      </c>
      <c r="D90" s="16" t="n"/>
      <c r="E90" s="41" t="inlineStr">
        <is>
          <t>AY/MC</t>
        </is>
      </c>
      <c r="N90" s="8" t="n"/>
      <c r="O90" s="6" t="n"/>
      <c r="T90" s="6" t="n"/>
      <c r="Z90" s="6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8" t="n"/>
    </row>
    <row r="91" ht="18.75" customHeight="1" s="517">
      <c r="A91" s="16" t="n"/>
      <c r="B91" s="450" t="inlineStr">
        <is>
          <t>Machining- Mat handling</t>
        </is>
      </c>
      <c r="C91" s="451">
        <f>+AD44+AD47+AD52</f>
        <v/>
      </c>
      <c r="D91" s="16" t="n"/>
      <c r="E91" s="41" t="inlineStr">
        <is>
          <t>MHC</t>
        </is>
      </c>
      <c r="G91" s="29">
        <f>C91</f>
        <v/>
      </c>
      <c r="N91" s="8" t="n"/>
      <c r="O91" s="6" t="n"/>
      <c r="T91" s="6" t="n"/>
      <c r="Z91" s="6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8" t="n"/>
    </row>
    <row r="92" ht="18.75" customHeight="1" s="517">
      <c r="B92" s="450" t="inlineStr">
        <is>
          <t>Machining Tools</t>
        </is>
      </c>
      <c r="C92" s="451">
        <f>AD42</f>
        <v/>
      </c>
      <c r="D92" s="16" t="n"/>
      <c r="E92" s="41" t="inlineStr">
        <is>
          <t>TC</t>
        </is>
      </c>
      <c r="F92" s="5" t="n"/>
      <c r="N92" s="8" t="n"/>
      <c r="O92" s="6" t="n"/>
      <c r="T92" s="6" t="n"/>
      <c r="Z92" s="6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8" t="n"/>
    </row>
    <row r="93" ht="18.75" customHeight="1" s="517">
      <c r="B93" s="450" t="inlineStr">
        <is>
          <t>Die Consumables</t>
        </is>
      </c>
      <c r="C93" s="470">
        <f>G19+S58</f>
        <v/>
      </c>
      <c r="D93" s="16" t="n"/>
      <c r="E93" s="41" t="n"/>
      <c r="F93" s="5" t="n"/>
      <c r="N93" s="8" t="n"/>
      <c r="O93" s="6" t="n"/>
      <c r="T93" s="6" t="n"/>
      <c r="Z93" s="6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8" t="n"/>
    </row>
    <row r="94" ht="18.75" customHeight="1" s="517">
      <c r="B94" s="450" t="inlineStr">
        <is>
          <t>After Assy Machining</t>
        </is>
      </c>
      <c r="C94" s="451">
        <f>SUM(W35:W42)</f>
        <v/>
      </c>
      <c r="D94" s="16" t="n"/>
      <c r="E94" s="41" t="inlineStr">
        <is>
          <t>AY/MC</t>
        </is>
      </c>
      <c r="N94" s="8" t="n"/>
      <c r="O94" s="6" t="n"/>
      <c r="T94" s="6" t="n"/>
      <c r="Z94" s="6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8" t="n"/>
    </row>
    <row r="95" ht="18.75" customHeight="1" s="517">
      <c r="B95" s="450" t="inlineStr">
        <is>
          <t>After Assy Machining- Material handling</t>
        </is>
      </c>
      <c r="C95" s="451">
        <f>+SUM(W44:X45)</f>
        <v/>
      </c>
      <c r="D95" s="16" t="n"/>
      <c r="E95" s="41" t="inlineStr">
        <is>
          <t>MHC</t>
        </is>
      </c>
      <c r="G95" s="29">
        <f>C95</f>
        <v/>
      </c>
      <c r="N95" s="8" t="n"/>
      <c r="O95" s="6" t="n"/>
      <c r="T95" s="6" t="n"/>
      <c r="Z95" s="6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8" t="n"/>
    </row>
    <row r="96" ht="17.25" customHeight="1" s="517">
      <c r="B96" s="450" t="inlineStr">
        <is>
          <t>After Assy Machining- Tools</t>
        </is>
      </c>
      <c r="C96" s="451">
        <f>SUM(W43:X43)</f>
        <v/>
      </c>
      <c r="D96" s="16" t="n"/>
      <c r="E96" s="41" t="inlineStr">
        <is>
          <t>TC</t>
        </is>
      </c>
      <c r="N96" s="8" t="n"/>
      <c r="O96" s="6" t="n"/>
      <c r="T96" s="6" t="n"/>
      <c r="Z96" s="6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8" t="n"/>
    </row>
    <row r="97" ht="17.25" customHeight="1" s="517">
      <c r="B97" s="450" t="inlineStr">
        <is>
          <t>Machining for BO</t>
        </is>
      </c>
      <c r="C97" s="451">
        <f>SUM(AW18:AW34)+AW36</f>
        <v/>
      </c>
      <c r="D97" s="472" t="n"/>
      <c r="E97" s="41" t="inlineStr">
        <is>
          <t>AY/MC</t>
        </is>
      </c>
      <c r="N97" s="8" t="n"/>
      <c r="O97" s="6" t="n"/>
      <c r="T97" s="6" t="n"/>
      <c r="Z97" s="6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8" t="n"/>
    </row>
    <row r="98" ht="17.25" customHeight="1" s="517">
      <c r="B98" s="450" t="inlineStr">
        <is>
          <t>Robot/ Automation-BO</t>
        </is>
      </c>
      <c r="C98" s="451">
        <f>AW35</f>
        <v/>
      </c>
      <c r="D98" s="16" t="n"/>
      <c r="E98" s="41" t="n"/>
      <c r="N98" s="8" t="n"/>
      <c r="O98" s="6" t="n"/>
      <c r="T98" s="6" t="n"/>
      <c r="Z98" s="6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8" t="n"/>
    </row>
    <row r="99" ht="17.25" customHeight="1" s="517">
      <c r="B99" s="450" t="inlineStr">
        <is>
          <t>Machining BO- Mat Handling</t>
        </is>
      </c>
      <c r="C99" s="451">
        <f>AR43+AR44+AR47</f>
        <v/>
      </c>
      <c r="D99" s="16" t="n"/>
      <c r="E99" s="41" t="inlineStr">
        <is>
          <t>MHC</t>
        </is>
      </c>
      <c r="G99" s="29">
        <f>C99</f>
        <v/>
      </c>
      <c r="N99" s="8" t="n"/>
      <c r="O99" s="6" t="n"/>
      <c r="T99" s="6" t="n"/>
      <c r="Z99" s="6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8" t="n"/>
    </row>
    <row r="100" ht="17.25" customHeight="1" s="517">
      <c r="B100" s="450" t="inlineStr">
        <is>
          <t>Machining BO- Tools</t>
        </is>
      </c>
      <c r="C100" s="451">
        <f>AR42</f>
        <v/>
      </c>
      <c r="D100" s="16" t="n"/>
      <c r="E100" s="41" t="inlineStr">
        <is>
          <t>TC</t>
        </is>
      </c>
      <c r="N100" s="8" t="n"/>
      <c r="O100" s="6" t="n"/>
      <c r="T100" s="6" t="n"/>
      <c r="Z100" s="6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8" t="n"/>
    </row>
    <row r="101" ht="17.25" customHeight="1" s="517">
      <c r="B101" s="450" t="inlineStr">
        <is>
          <t>Total Capex</t>
        </is>
      </c>
      <c r="C101" s="451">
        <f>SUM(C60:C100)-C93-C92-C80-C67-C68-C85</f>
        <v/>
      </c>
      <c r="E101" s="41" t="n"/>
      <c r="N101" s="8" t="n"/>
      <c r="O101" s="6" t="n"/>
      <c r="T101" s="6" t="n"/>
      <c r="Z101" s="6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8" t="n"/>
    </row>
    <row r="102" ht="17.25" customHeight="1" s="517">
      <c r="B102" s="450" t="inlineStr">
        <is>
          <t>Capex as per Project capex-opex details</t>
        </is>
      </c>
      <c r="C102" s="451" t="n"/>
      <c r="D102" s="30" t="n"/>
      <c r="E102" s="41" t="n"/>
      <c r="N102" s="8" t="n"/>
      <c r="O102" s="6" t="n"/>
      <c r="T102" s="6" t="n"/>
      <c r="Z102" s="6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8" t="n"/>
    </row>
    <row r="103" ht="17.25" customHeight="1" s="517">
      <c r="B103" s="450" t="inlineStr">
        <is>
          <t>Check for ZERO</t>
        </is>
      </c>
      <c r="C103" s="473">
        <f>C101-C102</f>
        <v/>
      </c>
      <c r="E103" s="41" t="n"/>
      <c r="G103" s="29">
        <f>SUM(G60:G102)</f>
        <v/>
      </c>
      <c r="N103" s="8" t="n"/>
      <c r="O103" s="6" t="n"/>
      <c r="T103" s="6" t="n"/>
      <c r="Z103" s="6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8" t="n"/>
    </row>
    <row r="104" ht="12.75" customHeight="1" s="517">
      <c r="C104" s="474" t="n"/>
      <c r="E104" s="41" t="n"/>
      <c r="N104" s="8" t="n"/>
      <c r="O104" s="6" t="n"/>
      <c r="T104" s="6" t="n"/>
      <c r="Z104" s="6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8" t="n"/>
    </row>
    <row r="105" ht="12.75" customHeight="1" s="517">
      <c r="C105" s="474" t="n"/>
      <c r="E105" s="41" t="n"/>
      <c r="N105" s="8" t="n"/>
      <c r="O105" s="6" t="n"/>
      <c r="T105" s="6" t="n"/>
      <c r="Z105" s="6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8" t="n"/>
    </row>
    <row r="106" ht="17.25" customHeight="1" s="517">
      <c r="B106" s="439" t="inlineStr">
        <is>
          <t>Testing Cost</t>
        </is>
      </c>
      <c r="C106" s="475" t="inlineStr">
        <is>
          <t>Amount</t>
        </is>
      </c>
      <c r="E106" s="41" t="n"/>
      <c r="N106" s="8" t="n"/>
      <c r="O106" s="6" t="n"/>
      <c r="T106" s="6" t="n"/>
      <c r="Z106" s="6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8" t="n"/>
    </row>
    <row r="107" ht="17.25" customHeight="1" s="517">
      <c r="B107" s="57" t="inlineStr">
        <is>
          <t>Chemical Testing cost/ part</t>
        </is>
      </c>
      <c r="C107" s="476" t="n"/>
      <c r="E107" s="41" t="n"/>
      <c r="N107" s="8" t="n"/>
      <c r="O107" s="6" t="n"/>
      <c r="T107" s="6" t="n"/>
      <c r="Z107" s="6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8" t="n"/>
    </row>
    <row r="108" ht="17.25" customHeight="1" s="517">
      <c r="B108" s="57" t="inlineStr">
        <is>
          <t>X Ray Testing cost / part</t>
        </is>
      </c>
      <c r="C108" s="476" t="inlineStr">
        <is>
          <t>-</t>
        </is>
      </c>
      <c r="E108" s="41" t="n"/>
      <c r="N108" s="8" t="n"/>
      <c r="O108" s="6" t="n"/>
      <c r="T108" s="6" t="n"/>
      <c r="Z108" s="6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8" t="n"/>
    </row>
    <row r="109" ht="17.25" customHeight="1" s="517">
      <c r="B109" s="57" t="inlineStr">
        <is>
          <t>Porosity Testing cost / part</t>
        </is>
      </c>
      <c r="C109" s="476" t="inlineStr">
        <is>
          <t>-</t>
        </is>
      </c>
      <c r="E109" s="41" t="n"/>
      <c r="N109" s="8" t="n"/>
      <c r="O109" s="6" t="n"/>
      <c r="T109" s="6" t="n"/>
      <c r="Z109" s="6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8" t="n"/>
    </row>
    <row r="110" ht="17.25" customHeight="1" s="517">
      <c r="B110" s="57" t="inlineStr">
        <is>
          <t>Microstructure Testing cost / part</t>
        </is>
      </c>
      <c r="C110" s="476" t="n"/>
      <c r="E110" s="41" t="n"/>
      <c r="N110" s="8" t="n"/>
      <c r="O110" s="6" t="n"/>
      <c r="T110" s="6" t="n"/>
      <c r="Z110" s="6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8" t="n"/>
    </row>
    <row r="111" ht="17.25" customHeight="1" s="517">
      <c r="B111" s="57" t="inlineStr">
        <is>
          <t>Hardness Testing cost / part</t>
        </is>
      </c>
      <c r="C111" s="476" t="n"/>
      <c r="E111" s="41" t="n"/>
      <c r="N111" s="8" t="n"/>
      <c r="O111" s="6" t="n"/>
      <c r="T111" s="6" t="n"/>
      <c r="Z111" s="6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8" t="n"/>
    </row>
    <row r="112" ht="17.25" customHeight="1" s="517">
      <c r="B112" s="57" t="inlineStr">
        <is>
          <t>Tensile Testing cost / part</t>
        </is>
      </c>
      <c r="C112" s="476" t="n"/>
      <c r="E112" s="41" t="n"/>
      <c r="N112" s="8" t="n"/>
      <c r="O112" s="6" t="n"/>
      <c r="T112" s="6" t="n"/>
      <c r="Z112" s="6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8" t="n"/>
    </row>
    <row r="113" ht="17.25" customHeight="1" s="517">
      <c r="B113" s="57" t="inlineStr">
        <is>
          <t>3D Inspection cost / part</t>
        </is>
      </c>
      <c r="C113" s="476" t="n"/>
      <c r="E113" s="41" t="n"/>
      <c r="N113" s="8" t="n"/>
      <c r="O113" s="6" t="n"/>
      <c r="T113" s="6" t="n"/>
      <c r="Z113" s="6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8" t="n"/>
    </row>
    <row r="114" ht="17.25" customHeight="1" s="517">
      <c r="B114" s="57" t="inlineStr">
        <is>
          <t>Core painting cost Korent 1 sand core 200 gm</t>
        </is>
      </c>
      <c r="C114" s="476" t="inlineStr">
        <is>
          <t>-</t>
        </is>
      </c>
      <c r="E114" s="41" t="n"/>
      <c r="N114" s="8" t="n"/>
      <c r="O114" s="6" t="n"/>
      <c r="T114" s="6" t="n"/>
      <c r="Z114" s="6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8" t="n"/>
    </row>
    <row r="115" ht="17.25" customHeight="1" s="517">
      <c r="B115" s="57" t="inlineStr">
        <is>
          <t>Others</t>
        </is>
      </c>
      <c r="C115" s="476" t="inlineStr">
        <is>
          <t>-</t>
        </is>
      </c>
      <c r="E115" s="41" t="n"/>
      <c r="N115" s="8" t="n"/>
      <c r="O115" s="6" t="n"/>
      <c r="T115" s="6" t="n"/>
      <c r="Z115" s="6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8" t="n"/>
    </row>
    <row r="116" ht="20.25" customHeight="1" s="517">
      <c r="E116" s="41" t="n"/>
      <c r="N116" s="8" t="n"/>
      <c r="O116" s="6" t="n"/>
      <c r="T116" s="6" t="n"/>
      <c r="Z116" s="6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8" t="n"/>
    </row>
    <row r="117" ht="20.25" customHeight="1" s="517">
      <c r="B117" s="477" t="inlineStr">
        <is>
          <t>Sub contractor Rate master</t>
        </is>
      </c>
      <c r="C117" s="477" t="inlineStr">
        <is>
          <t>UOM</t>
        </is>
      </c>
      <c r="D117" s="477" t="inlineStr">
        <is>
          <t xml:space="preserve">Cost </t>
        </is>
      </c>
      <c r="F117" t="inlineStr">
        <is>
          <t>HT COST CALCULATION</t>
        </is>
      </c>
      <c r="N117" s="8" t="n"/>
      <c r="O117" s="6" t="n"/>
      <c r="T117" s="6" t="n"/>
      <c r="Z117" s="6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8" t="n"/>
    </row>
    <row r="118" ht="20.25" customHeight="1" s="517">
      <c r="B118" s="57" t="inlineStr">
        <is>
          <t>Melting</t>
        </is>
      </c>
      <c r="C118" s="476" t="inlineStr">
        <is>
          <t>Rs. Per Kg</t>
        </is>
      </c>
      <c r="D118" s="40" t="n"/>
      <c r="F118" t="inlineStr">
        <is>
          <t>No of layers</t>
        </is>
      </c>
      <c r="N118" s="8" t="n"/>
      <c r="O118" s="6" t="n"/>
      <c r="T118" s="6" t="n"/>
      <c r="Z118" s="6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8" t="n"/>
    </row>
    <row r="119" ht="20.25" customHeight="1" s="517">
      <c r="B119" s="57" t="inlineStr">
        <is>
          <t>Casting</t>
        </is>
      </c>
      <c r="C119" s="476" t="inlineStr">
        <is>
          <t>Rs. Per Kg</t>
        </is>
      </c>
      <c r="D119" s="40" t="n"/>
      <c r="F119" t="inlineStr">
        <is>
          <t>Parts per layer</t>
        </is>
      </c>
      <c r="N119" s="8" t="n"/>
      <c r="O119" s="6" t="n"/>
      <c r="T119" s="6" t="n"/>
      <c r="Z119" s="6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8" t="n"/>
    </row>
    <row r="120" ht="20.25" customHeight="1" s="517">
      <c r="B120" s="57" t="inlineStr">
        <is>
          <t>Fettling</t>
        </is>
      </c>
      <c r="C120" s="476" t="inlineStr">
        <is>
          <t>Rs. Per Kg</t>
        </is>
      </c>
      <c r="D120" s="40" t="n"/>
      <c r="F120" t="inlineStr">
        <is>
          <t>Parts per basket</t>
        </is>
      </c>
      <c r="N120" s="8" t="n"/>
      <c r="O120" s="6" t="n"/>
      <c r="T120" s="6" t="n"/>
      <c r="Z120" s="6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8" t="n"/>
    </row>
    <row r="121" ht="20.25" customHeight="1" s="517">
      <c r="B121" s="57" t="inlineStr">
        <is>
          <t>Machining</t>
        </is>
      </c>
      <c r="C121" s="476" t="inlineStr">
        <is>
          <t>Rs. Per Kg</t>
        </is>
      </c>
      <c r="D121" s="40" t="n"/>
      <c r="N121" s="8" t="n"/>
      <c r="O121" s="6" t="n"/>
      <c r="T121" s="6" t="n"/>
      <c r="Z121" s="6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8" t="n"/>
    </row>
    <row r="122" ht="20.25" customHeight="1" s="517">
      <c r="B122" s="57" t="inlineStr">
        <is>
          <t>Shot Blasting</t>
        </is>
      </c>
      <c r="C122" s="476" t="inlineStr">
        <is>
          <t>Rs. Per Kg</t>
        </is>
      </c>
      <c r="D122" s="40" t="n"/>
      <c r="F122" t="inlineStr">
        <is>
          <t>Part wt</t>
        </is>
      </c>
      <c r="J122" s="478" t="inlineStr">
        <is>
          <t>OUTSOURCE COST</t>
        </is>
      </c>
      <c r="N122" s="8" t="n"/>
      <c r="O122" s="6" t="n"/>
      <c r="T122" s="6" t="n"/>
      <c r="Z122" s="6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8" t="n"/>
    </row>
    <row r="123" ht="20.25" customHeight="1" s="517">
      <c r="B123" s="57" t="inlineStr">
        <is>
          <t>ED Coating</t>
        </is>
      </c>
      <c r="C123" s="476" t="inlineStr">
        <is>
          <t>Rs. Per Kg</t>
        </is>
      </c>
      <c r="D123" s="40">
        <f>152.44</f>
        <v/>
      </c>
      <c r="F123" t="inlineStr">
        <is>
          <t>Basket load in Kgs</t>
        </is>
      </c>
      <c r="J123" s="5" t="inlineStr">
        <is>
          <t>Basket cost -  T6</t>
        </is>
      </c>
      <c r="K123" s="5" t="n"/>
      <c r="N123" s="8" t="n"/>
      <c r="O123" s="6" t="n"/>
      <c r="T123" s="6" t="n"/>
      <c r="Z123" s="6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8" t="n"/>
    </row>
    <row r="124" ht="20.25" customHeight="1" s="517">
      <c r="B124" s="57" t="inlineStr">
        <is>
          <t>Surface coating</t>
        </is>
      </c>
      <c r="C124" s="476" t="inlineStr">
        <is>
          <t>Rs. Per Kg</t>
        </is>
      </c>
      <c r="D124" s="40" t="n"/>
      <c r="J124" s="5" t="inlineStr">
        <is>
          <t>Basket qty</t>
        </is>
      </c>
      <c r="K124" s="5" t="n"/>
      <c r="N124" s="8" t="n"/>
      <c r="O124" s="6" t="n"/>
      <c r="T124" s="6" t="n"/>
      <c r="Z124" s="6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8" t="n"/>
    </row>
    <row r="125" ht="20.25" customHeight="1" s="517">
      <c r="B125" s="57" t="inlineStr">
        <is>
          <t>Surface Treatment</t>
        </is>
      </c>
      <c r="C125" s="476" t="inlineStr">
        <is>
          <t>Rs. Per Kg</t>
        </is>
      </c>
      <c r="D125" s="40" t="n"/>
      <c r="F125" t="inlineStr">
        <is>
          <t>Batch price</t>
        </is>
      </c>
      <c r="J125" s="5" t="inlineStr">
        <is>
          <t>(as confirmed by estimation team)</t>
        </is>
      </c>
      <c r="K125" s="479" t="n"/>
      <c r="N125" s="8" t="n"/>
      <c r="O125" s="6" t="n"/>
      <c r="T125" s="6" t="n"/>
      <c r="Z125" s="6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8" t="n"/>
    </row>
    <row r="126" ht="20.25" customHeight="1" s="517">
      <c r="B126" s="57" t="inlineStr">
        <is>
          <t>Heat Treatment- Ordinary</t>
        </is>
      </c>
      <c r="C126" s="476" t="inlineStr">
        <is>
          <t>Rs. Per Kg</t>
        </is>
      </c>
      <c r="D126" s="40" t="n"/>
      <c r="F126" t="inlineStr">
        <is>
          <t>Rs per part</t>
        </is>
      </c>
      <c r="J126" s="5" t="inlineStr">
        <is>
          <t>Cost incl transport</t>
        </is>
      </c>
      <c r="K126" s="479" t="n"/>
      <c r="N126" s="8" t="n"/>
      <c r="O126" s="6" t="n"/>
      <c r="T126" s="6" t="n"/>
      <c r="Z126" s="6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8" t="n"/>
    </row>
    <row r="127" ht="20.25" customHeight="1" s="517">
      <c r="B127" s="57" t="inlineStr">
        <is>
          <t>Heat Treatment- Special</t>
        </is>
      </c>
      <c r="C127" s="476" t="inlineStr">
        <is>
          <t>Rs. Per Kg</t>
        </is>
      </c>
      <c r="D127" s="40" t="n"/>
      <c r="F127" t="inlineStr">
        <is>
          <t>HT per part + Transport</t>
        </is>
      </c>
      <c r="N127" s="8" t="n"/>
      <c r="O127" s="6" t="n"/>
      <c r="T127" s="6" t="n"/>
      <c r="Z127" s="6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8" t="n"/>
    </row>
    <row r="128" ht="20.25" customHeight="1" s="517">
      <c r="B128" s="57" t="inlineStr">
        <is>
          <t>Bend Removal</t>
        </is>
      </c>
      <c r="C128" s="476" t="inlineStr">
        <is>
          <t>Rs. Per Kg</t>
        </is>
      </c>
      <c r="D128" s="40" t="n"/>
      <c r="N128" s="8" t="n"/>
      <c r="O128" s="6" t="n"/>
      <c r="T128" s="6" t="n"/>
      <c r="Z128" s="6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8" t="n"/>
    </row>
    <row r="129" ht="20.25" customHeight="1" s="517">
      <c r="B129" s="57" t="inlineStr">
        <is>
          <t>Alumina Blasting</t>
        </is>
      </c>
      <c r="C129" s="476" t="inlineStr">
        <is>
          <t>Rs. Per Kg</t>
        </is>
      </c>
      <c r="D129" s="40" t="n"/>
      <c r="N129" s="8" t="n"/>
      <c r="O129" s="6" t="n"/>
      <c r="T129" s="6" t="n"/>
      <c r="Z129" s="6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8" t="n"/>
    </row>
    <row r="130" ht="20.25" customHeight="1" s="517">
      <c r="B130" s="57" t="inlineStr">
        <is>
          <t>Impregnation</t>
        </is>
      </c>
      <c r="C130" s="476" t="inlineStr">
        <is>
          <t>Rs. Per Kg</t>
        </is>
      </c>
      <c r="D130" s="40" t="n"/>
      <c r="N130" s="8" t="n"/>
      <c r="O130" s="6" t="n"/>
      <c r="T130" s="6" t="n"/>
      <c r="Z130" s="6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8" t="n"/>
    </row>
    <row r="131" ht="20.25" customHeight="1" s="517">
      <c r="B131" s="57" t="inlineStr">
        <is>
          <t>Painting</t>
        </is>
      </c>
      <c r="C131" s="476" t="inlineStr">
        <is>
          <t>Rs. Per Kg</t>
        </is>
      </c>
      <c r="D131" s="40" t="n"/>
      <c r="N131" s="8" t="n"/>
      <c r="O131" s="6" t="n"/>
      <c r="T131" s="6" t="n"/>
      <c r="Z131" s="6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8" t="n"/>
    </row>
    <row r="132" ht="12.75" customHeight="1" s="517">
      <c r="E132" s="41" t="n"/>
      <c r="N132" s="8" t="n"/>
      <c r="O132" s="6" t="n"/>
      <c r="T132" s="6" t="n"/>
      <c r="Z132" s="6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8" t="n"/>
    </row>
    <row r="133" ht="12.75" customHeight="1" s="517">
      <c r="E133" s="41" t="n"/>
      <c r="N133" s="8" t="n"/>
      <c r="O133" s="6" t="n"/>
      <c r="T133" s="6" t="n"/>
      <c r="Z133" s="6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8" t="n"/>
    </row>
    <row r="134" ht="12.75" customHeight="1" s="517">
      <c r="E134" s="41" t="n"/>
      <c r="N134" s="8" t="n"/>
      <c r="O134" s="6" t="n"/>
      <c r="T134" s="6" t="n"/>
      <c r="Z134" s="6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8" t="n"/>
    </row>
    <row r="135" ht="12.75" customHeight="1" s="517">
      <c r="E135" s="41" t="n"/>
      <c r="N135" s="8" t="n"/>
      <c r="O135" s="6" t="n"/>
      <c r="T135" s="6" t="n"/>
      <c r="Z135" s="6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8" t="n"/>
    </row>
    <row r="136" ht="12.75" customHeight="1" s="517">
      <c r="E136" s="41" t="n"/>
      <c r="N136" s="8" t="n"/>
      <c r="O136" s="6" t="n"/>
      <c r="T136" s="6" t="n"/>
      <c r="Z136" s="6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8" t="n"/>
    </row>
    <row r="137" ht="12.75" customHeight="1" s="517">
      <c r="E137" s="41" t="n"/>
      <c r="N137" s="8" t="n"/>
      <c r="O137" s="6" t="n"/>
      <c r="T137" s="6" t="n"/>
      <c r="Z137" s="6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8" t="n"/>
    </row>
    <row r="138" ht="12.75" customHeight="1" s="517">
      <c r="E138" s="41" t="n"/>
      <c r="N138" s="8" t="n"/>
      <c r="O138" s="6" t="n"/>
      <c r="T138" s="6" t="n"/>
      <c r="Z138" s="6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8" t="n"/>
    </row>
    <row r="139" ht="12.75" customHeight="1" s="517">
      <c r="E139" s="41" t="n"/>
      <c r="N139" s="8" t="n"/>
      <c r="O139" s="6" t="n"/>
      <c r="T139" s="6" t="n"/>
      <c r="Z139" s="6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8" t="n"/>
    </row>
    <row r="140" ht="12.75" customHeight="1" s="517">
      <c r="E140" s="41" t="n"/>
      <c r="N140" s="8" t="n"/>
      <c r="O140" s="6" t="n"/>
      <c r="T140" s="6" t="n"/>
      <c r="Z140" s="6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8" t="n"/>
    </row>
    <row r="141" ht="12.75" customHeight="1" s="517">
      <c r="E141" s="41" t="n"/>
      <c r="N141" s="8" t="n"/>
      <c r="O141" s="6" t="n"/>
      <c r="T141" s="6" t="n"/>
      <c r="Z141" s="6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8" t="n"/>
    </row>
    <row r="142" ht="12.75" customHeight="1" s="517">
      <c r="E142" s="41" t="n"/>
      <c r="N142" s="8" t="n"/>
      <c r="O142" s="6" t="n"/>
      <c r="T142" s="6" t="n"/>
      <c r="Z142" s="6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8" t="n"/>
    </row>
    <row r="143" ht="12.75" customHeight="1" s="517">
      <c r="E143" s="41" t="n"/>
      <c r="N143" s="8" t="n"/>
      <c r="O143" s="6" t="n"/>
      <c r="T143" s="6" t="n"/>
      <c r="Z143" s="6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8" t="n"/>
    </row>
    <row r="144" ht="12.75" customHeight="1" s="517">
      <c r="E144" s="41" t="n"/>
      <c r="N144" s="8" t="n"/>
      <c r="O144" s="6" t="n"/>
      <c r="T144" s="6" t="n"/>
      <c r="Z144" s="6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8" t="n"/>
    </row>
    <row r="145" ht="12.75" customHeight="1" s="517">
      <c r="E145" s="41" t="n"/>
      <c r="N145" s="8" t="n"/>
      <c r="O145" s="6" t="n"/>
      <c r="T145" s="6" t="n"/>
      <c r="Z145" s="6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8" t="n"/>
    </row>
    <row r="146" ht="12.75" customHeight="1" s="517">
      <c r="E146" s="41" t="n"/>
      <c r="N146" s="8" t="n"/>
      <c r="O146" s="6" t="n"/>
      <c r="T146" s="6" t="n"/>
      <c r="Z146" s="6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8" t="n"/>
    </row>
    <row r="147" ht="12.75" customHeight="1" s="517">
      <c r="E147" s="41" t="n"/>
      <c r="N147" s="8" t="n"/>
      <c r="O147" s="6" t="n"/>
      <c r="T147" s="6" t="n"/>
      <c r="Z147" s="6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8" t="n"/>
    </row>
    <row r="148" ht="12.75" customHeight="1" s="517">
      <c r="E148" s="41" t="n"/>
      <c r="N148" s="8" t="n"/>
      <c r="O148" s="6" t="n"/>
      <c r="T148" s="6" t="n"/>
      <c r="Z148" s="6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8" t="n"/>
    </row>
    <row r="149" ht="12.75" customHeight="1" s="517">
      <c r="E149" s="41" t="n"/>
      <c r="N149" s="8" t="n"/>
      <c r="O149" s="6" t="n"/>
      <c r="T149" s="6" t="n"/>
      <c r="Z149" s="6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8" t="n"/>
    </row>
    <row r="150" ht="12.75" customHeight="1" s="517">
      <c r="E150" s="41" t="n"/>
      <c r="N150" s="8" t="n"/>
      <c r="O150" s="6" t="n"/>
      <c r="T150" s="6" t="n"/>
      <c r="Z150" s="6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8" t="n"/>
    </row>
    <row r="151" ht="12.75" customHeight="1" s="517">
      <c r="E151" s="41" t="n"/>
      <c r="N151" s="8" t="n"/>
      <c r="O151" s="6" t="n"/>
      <c r="T151" s="6" t="n"/>
      <c r="Z151" s="6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8" t="n"/>
    </row>
    <row r="152" ht="12.75" customHeight="1" s="517">
      <c r="E152" s="41" t="n"/>
      <c r="N152" s="8" t="n"/>
      <c r="O152" s="6" t="n"/>
      <c r="T152" s="6" t="n"/>
      <c r="Z152" s="6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8" t="n"/>
    </row>
    <row r="153" ht="12.75" customHeight="1" s="517">
      <c r="E153" s="41" t="n"/>
      <c r="N153" s="8" t="n"/>
      <c r="O153" s="6" t="n"/>
      <c r="T153" s="6" t="n"/>
      <c r="Z153" s="6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8" t="n"/>
    </row>
    <row r="154" ht="12.75" customHeight="1" s="517">
      <c r="E154" s="41" t="n"/>
      <c r="N154" s="8" t="n"/>
      <c r="O154" s="6" t="n"/>
      <c r="T154" s="6" t="n"/>
      <c r="Z154" s="6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8" t="n"/>
    </row>
    <row r="155" ht="12.75" customHeight="1" s="517">
      <c r="E155" s="41" t="n"/>
      <c r="N155" s="8" t="n"/>
      <c r="O155" s="6" t="n"/>
      <c r="T155" s="6" t="n"/>
      <c r="Z155" s="6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8" t="n"/>
    </row>
    <row r="156" ht="12.75" customHeight="1" s="517">
      <c r="E156" s="41" t="n"/>
      <c r="N156" s="8" t="n"/>
      <c r="O156" s="6" t="n"/>
      <c r="T156" s="6" t="n"/>
      <c r="Z156" s="6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8" t="n"/>
    </row>
    <row r="157" ht="12.75" customHeight="1" s="517">
      <c r="E157" s="41" t="n"/>
      <c r="N157" s="8" t="n"/>
      <c r="O157" s="6" t="n"/>
      <c r="T157" s="6" t="n"/>
      <c r="Z157" s="6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8" t="n"/>
    </row>
    <row r="158" ht="12.75" customHeight="1" s="517">
      <c r="E158" s="41" t="n"/>
      <c r="N158" s="8" t="n"/>
      <c r="O158" s="6" t="n"/>
      <c r="T158" s="6" t="n"/>
      <c r="Z158" s="6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8" t="n"/>
    </row>
    <row r="159" ht="12.75" customHeight="1" s="517">
      <c r="E159" s="41" t="n"/>
      <c r="N159" s="8" t="n"/>
      <c r="O159" s="6" t="n"/>
      <c r="T159" s="6" t="n"/>
      <c r="Z159" s="6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8" t="n"/>
    </row>
    <row r="160" ht="12.75" customHeight="1" s="517">
      <c r="E160" s="41" t="n"/>
      <c r="N160" s="8" t="n"/>
      <c r="O160" s="6" t="n"/>
      <c r="T160" s="6" t="n"/>
      <c r="Z160" s="6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8" t="n"/>
    </row>
    <row r="161" ht="12.75" customHeight="1" s="517">
      <c r="E161" s="41" t="n"/>
      <c r="N161" s="8" t="n"/>
      <c r="O161" s="6" t="n"/>
      <c r="T161" s="6" t="n"/>
      <c r="Z161" s="6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8" t="n"/>
    </row>
    <row r="162" ht="12.75" customHeight="1" s="517">
      <c r="E162" s="41" t="n"/>
      <c r="N162" s="8" t="n"/>
      <c r="O162" s="6" t="n"/>
      <c r="T162" s="6" t="n"/>
      <c r="Z162" s="6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8" t="n"/>
    </row>
    <row r="163" ht="12.75" customHeight="1" s="517">
      <c r="E163" s="41" t="n"/>
      <c r="N163" s="8" t="n"/>
      <c r="O163" s="6" t="n"/>
      <c r="T163" s="6" t="n"/>
      <c r="Z163" s="6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8" t="n"/>
    </row>
    <row r="164" ht="12.75" customHeight="1" s="517">
      <c r="E164" s="41" t="n"/>
      <c r="N164" s="8" t="n"/>
      <c r="O164" s="6" t="n"/>
      <c r="T164" s="6" t="n"/>
      <c r="Z164" s="6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8" t="n"/>
    </row>
    <row r="165" ht="12.75" customHeight="1" s="517">
      <c r="E165" s="41" t="n"/>
      <c r="N165" s="8" t="n"/>
      <c r="O165" s="6" t="n"/>
      <c r="T165" s="6" t="n"/>
      <c r="Z165" s="6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8" t="n"/>
    </row>
    <row r="166" ht="12.75" customHeight="1" s="517">
      <c r="E166" s="41" t="n"/>
      <c r="N166" s="8" t="n"/>
      <c r="O166" s="6" t="n"/>
      <c r="T166" s="6" t="n"/>
      <c r="Z166" s="6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8" t="n"/>
    </row>
    <row r="167" ht="12.75" customHeight="1" s="517">
      <c r="E167" s="41" t="n"/>
      <c r="N167" s="8" t="n"/>
      <c r="O167" s="6" t="n"/>
      <c r="T167" s="6" t="n"/>
      <c r="Z167" s="6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8" t="n"/>
    </row>
    <row r="168" ht="12.75" customHeight="1" s="517">
      <c r="E168" s="41" t="n"/>
      <c r="N168" s="8" t="n"/>
      <c r="O168" s="6" t="n"/>
      <c r="T168" s="6" t="n"/>
      <c r="Z168" s="6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8" t="n"/>
    </row>
    <row r="169" ht="12.75" customHeight="1" s="517">
      <c r="E169" s="41" t="n"/>
      <c r="N169" s="8" t="n"/>
      <c r="O169" s="6" t="n"/>
      <c r="T169" s="6" t="n"/>
      <c r="Z169" s="6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8" t="n"/>
    </row>
    <row r="170" ht="12.75" customHeight="1" s="517">
      <c r="E170" s="41" t="n"/>
      <c r="N170" s="8" t="n"/>
      <c r="O170" s="6" t="n"/>
      <c r="T170" s="6" t="n"/>
      <c r="Z170" s="6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8" t="n"/>
    </row>
    <row r="171" ht="12.75" customHeight="1" s="517">
      <c r="E171" s="41" t="n"/>
      <c r="N171" s="8" t="n"/>
      <c r="O171" s="6" t="n"/>
      <c r="T171" s="6" t="n"/>
      <c r="Z171" s="6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8" t="n"/>
    </row>
    <row r="172" ht="12.75" customHeight="1" s="517">
      <c r="E172" s="41" t="n"/>
      <c r="N172" s="8" t="n"/>
      <c r="O172" s="6" t="n"/>
      <c r="T172" s="6" t="n"/>
      <c r="Z172" s="6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8" t="n"/>
    </row>
    <row r="173" ht="12.75" customHeight="1" s="517">
      <c r="E173" s="41" t="n"/>
      <c r="N173" s="8" t="n"/>
      <c r="O173" s="6" t="n"/>
      <c r="T173" s="6" t="n"/>
      <c r="Z173" s="6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8" t="n"/>
    </row>
    <row r="174" ht="12.75" customHeight="1" s="517">
      <c r="E174" s="41" t="n"/>
      <c r="N174" s="8" t="n"/>
      <c r="O174" s="6" t="n"/>
      <c r="T174" s="6" t="n"/>
      <c r="Z174" s="6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8" t="n"/>
    </row>
    <row r="175" ht="12.75" customHeight="1" s="517">
      <c r="E175" s="41" t="n"/>
      <c r="N175" s="8" t="n"/>
      <c r="O175" s="6" t="n"/>
      <c r="T175" s="6" t="n"/>
      <c r="Z175" s="6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8" t="n"/>
    </row>
    <row r="176" ht="12.75" customHeight="1" s="517">
      <c r="E176" s="41" t="n"/>
      <c r="N176" s="8" t="n"/>
      <c r="O176" s="6" t="n"/>
      <c r="T176" s="6" t="n"/>
      <c r="Z176" s="6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8" t="n"/>
    </row>
    <row r="177" ht="12.75" customHeight="1" s="517">
      <c r="E177" s="41" t="n"/>
      <c r="N177" s="8" t="n"/>
      <c r="O177" s="6" t="n"/>
      <c r="T177" s="6" t="n"/>
      <c r="Z177" s="6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8" t="n"/>
    </row>
    <row r="178" ht="12.75" customHeight="1" s="517">
      <c r="E178" s="41" t="n"/>
      <c r="N178" s="8" t="n"/>
      <c r="O178" s="6" t="n"/>
      <c r="T178" s="6" t="n"/>
      <c r="Z178" s="6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8" t="n"/>
    </row>
    <row r="179" ht="12.75" customHeight="1" s="517">
      <c r="E179" s="41" t="n"/>
      <c r="N179" s="8" t="n"/>
      <c r="O179" s="6" t="n"/>
      <c r="T179" s="6" t="n"/>
      <c r="Z179" s="6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8" t="n"/>
    </row>
    <row r="180" ht="12.75" customHeight="1" s="517">
      <c r="E180" s="41" t="n"/>
      <c r="N180" s="8" t="n"/>
      <c r="O180" s="6" t="n"/>
      <c r="T180" s="6" t="n"/>
      <c r="Z180" s="6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8" t="n"/>
    </row>
    <row r="181" ht="12.75" customHeight="1" s="517">
      <c r="E181" s="41" t="n"/>
      <c r="N181" s="8" t="n"/>
      <c r="O181" s="6" t="n"/>
      <c r="T181" s="6" t="n"/>
      <c r="Z181" s="6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8" t="n"/>
    </row>
    <row r="182" ht="12.75" customHeight="1" s="517">
      <c r="E182" s="41" t="n"/>
      <c r="N182" s="8" t="n"/>
      <c r="O182" s="6" t="n"/>
      <c r="T182" s="6" t="n"/>
      <c r="Z182" s="6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8" t="n"/>
    </row>
    <row r="183" ht="12.75" customHeight="1" s="517">
      <c r="E183" s="41" t="n"/>
      <c r="N183" s="8" t="n"/>
      <c r="O183" s="6" t="n"/>
      <c r="T183" s="6" t="n"/>
      <c r="Z183" s="6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8" t="n"/>
    </row>
    <row r="184" ht="12.75" customHeight="1" s="517">
      <c r="E184" s="41" t="n"/>
      <c r="N184" s="8" t="n"/>
      <c r="O184" s="6" t="n"/>
      <c r="T184" s="6" t="n"/>
      <c r="Z184" s="6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8" t="n"/>
    </row>
    <row r="185" ht="12.75" customHeight="1" s="517">
      <c r="E185" s="41" t="n"/>
      <c r="N185" s="8" t="n"/>
      <c r="O185" s="6" t="n"/>
      <c r="T185" s="6" t="n"/>
      <c r="Z185" s="6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8" t="n"/>
    </row>
    <row r="186" ht="12.75" customHeight="1" s="517">
      <c r="E186" s="41" t="n"/>
      <c r="N186" s="8" t="n"/>
      <c r="O186" s="6" t="n"/>
      <c r="T186" s="6" t="n"/>
      <c r="Z186" s="6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8" t="n"/>
    </row>
    <row r="187" ht="12.75" customHeight="1" s="517">
      <c r="E187" s="41" t="n"/>
      <c r="N187" s="8" t="n"/>
      <c r="O187" s="6" t="n"/>
      <c r="T187" s="6" t="n"/>
      <c r="Z187" s="6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8" t="n"/>
    </row>
    <row r="188" ht="12.75" customHeight="1" s="517">
      <c r="E188" s="41" t="n"/>
      <c r="N188" s="8" t="n"/>
      <c r="O188" s="6" t="n"/>
      <c r="T188" s="6" t="n"/>
      <c r="Z188" s="6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8" t="n"/>
    </row>
    <row r="189" ht="12.75" customHeight="1" s="517">
      <c r="E189" s="41" t="n"/>
      <c r="N189" s="8" t="n"/>
      <c r="O189" s="6" t="n"/>
      <c r="T189" s="6" t="n"/>
      <c r="Z189" s="6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8" t="n"/>
    </row>
    <row r="190" ht="12.75" customHeight="1" s="517">
      <c r="E190" s="41" t="n"/>
      <c r="N190" s="8" t="n"/>
      <c r="O190" s="6" t="n"/>
      <c r="T190" s="6" t="n"/>
      <c r="Z190" s="6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8" t="n"/>
    </row>
    <row r="191" ht="12.75" customHeight="1" s="517">
      <c r="E191" s="41" t="n"/>
      <c r="N191" s="8" t="n"/>
      <c r="O191" s="6" t="n"/>
      <c r="T191" s="6" t="n"/>
      <c r="Z191" s="6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8" t="n"/>
    </row>
    <row r="192" ht="12.75" customHeight="1" s="517">
      <c r="E192" s="41" t="n"/>
      <c r="N192" s="8" t="n"/>
      <c r="O192" s="6" t="n"/>
      <c r="T192" s="6" t="n"/>
      <c r="Z192" s="6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8" t="n"/>
    </row>
    <row r="193" ht="12.75" customHeight="1" s="517">
      <c r="E193" s="41" t="n"/>
      <c r="N193" s="8" t="n"/>
      <c r="O193" s="6" t="n"/>
      <c r="T193" s="6" t="n"/>
      <c r="Z193" s="6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8" t="n"/>
    </row>
    <row r="194" ht="12.75" customHeight="1" s="517">
      <c r="E194" s="41" t="n"/>
      <c r="N194" s="8" t="n"/>
      <c r="O194" s="6" t="n"/>
      <c r="T194" s="6" t="n"/>
      <c r="Z194" s="6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8" t="n"/>
    </row>
    <row r="195" ht="12.75" customHeight="1" s="517">
      <c r="E195" s="41" t="n"/>
      <c r="N195" s="8" t="n"/>
      <c r="O195" s="6" t="n"/>
      <c r="T195" s="6" t="n"/>
      <c r="Z195" s="6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8" t="n"/>
    </row>
    <row r="196" ht="12.75" customHeight="1" s="517">
      <c r="E196" s="41" t="n"/>
      <c r="N196" s="8" t="n"/>
      <c r="O196" s="6" t="n"/>
      <c r="T196" s="6" t="n"/>
      <c r="Z196" s="6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8" t="n"/>
    </row>
    <row r="197" ht="12.75" customHeight="1" s="517">
      <c r="E197" s="41" t="n"/>
      <c r="N197" s="8" t="n"/>
      <c r="O197" s="6" t="n"/>
      <c r="T197" s="6" t="n"/>
      <c r="Z197" s="6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8" t="n"/>
    </row>
    <row r="198" ht="12.75" customHeight="1" s="517">
      <c r="E198" s="41" t="n"/>
      <c r="N198" s="8" t="n"/>
      <c r="O198" s="6" t="n"/>
      <c r="T198" s="6" t="n"/>
      <c r="Z198" s="6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8" t="n"/>
    </row>
    <row r="199" ht="12.75" customHeight="1" s="517">
      <c r="E199" s="41" t="n"/>
      <c r="N199" s="8" t="n"/>
      <c r="O199" s="6" t="n"/>
      <c r="T199" s="6" t="n"/>
      <c r="Z199" s="6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8" t="n"/>
    </row>
    <row r="200" ht="12.75" customHeight="1" s="517">
      <c r="E200" s="41" t="n"/>
      <c r="N200" s="8" t="n"/>
      <c r="O200" s="6" t="n"/>
      <c r="T200" s="6" t="n"/>
      <c r="Z200" s="6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8" t="n"/>
    </row>
    <row r="201" ht="12.75" customHeight="1" s="517">
      <c r="E201" s="41" t="n"/>
      <c r="N201" s="8" t="n"/>
      <c r="O201" s="6" t="n"/>
      <c r="T201" s="6" t="n"/>
      <c r="Z201" s="6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8" t="n"/>
    </row>
    <row r="202" ht="12.75" customHeight="1" s="517">
      <c r="E202" s="41" t="n"/>
      <c r="N202" s="8" t="n"/>
      <c r="O202" s="6" t="n"/>
      <c r="T202" s="6" t="n"/>
      <c r="Z202" s="6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8" t="n"/>
    </row>
    <row r="203" ht="12.75" customHeight="1" s="517">
      <c r="E203" s="41" t="n"/>
      <c r="N203" s="8" t="n"/>
      <c r="O203" s="6" t="n"/>
      <c r="T203" s="6" t="n"/>
      <c r="Z203" s="6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8" t="n"/>
    </row>
    <row r="204" ht="12.75" customHeight="1" s="517">
      <c r="E204" s="41" t="n"/>
      <c r="N204" s="8" t="n"/>
      <c r="O204" s="6" t="n"/>
      <c r="T204" s="6" t="n"/>
      <c r="Z204" s="6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8" t="n"/>
    </row>
    <row r="205" ht="12.75" customHeight="1" s="517">
      <c r="E205" s="41" t="n"/>
      <c r="N205" s="8" t="n"/>
      <c r="O205" s="6" t="n"/>
      <c r="T205" s="6" t="n"/>
      <c r="Z205" s="6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8" t="n"/>
    </row>
    <row r="206" ht="12.75" customHeight="1" s="517">
      <c r="E206" s="41" t="n"/>
      <c r="N206" s="8" t="n"/>
      <c r="O206" s="6" t="n"/>
      <c r="T206" s="6" t="n"/>
      <c r="Z206" s="6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8" t="n"/>
    </row>
    <row r="207" ht="12.75" customHeight="1" s="517">
      <c r="E207" s="41" t="n"/>
      <c r="N207" s="8" t="n"/>
      <c r="O207" s="6" t="n"/>
      <c r="T207" s="6" t="n"/>
      <c r="Z207" s="6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8" t="n"/>
    </row>
    <row r="208" ht="12.75" customHeight="1" s="517">
      <c r="E208" s="41" t="n"/>
      <c r="N208" s="8" t="n"/>
      <c r="O208" s="6" t="n"/>
      <c r="T208" s="6" t="n"/>
      <c r="Z208" s="6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8" t="n"/>
    </row>
    <row r="209" ht="12.75" customHeight="1" s="517">
      <c r="E209" s="41" t="n"/>
      <c r="N209" s="8" t="n"/>
      <c r="O209" s="6" t="n"/>
      <c r="T209" s="6" t="n"/>
      <c r="Z209" s="6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8" t="n"/>
    </row>
    <row r="210" ht="12.75" customHeight="1" s="517">
      <c r="E210" s="41" t="n"/>
      <c r="N210" s="8" t="n"/>
      <c r="O210" s="6" t="n"/>
      <c r="T210" s="6" t="n"/>
      <c r="Z210" s="6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8" t="n"/>
    </row>
    <row r="211" ht="12.75" customHeight="1" s="517">
      <c r="E211" s="41" t="n"/>
      <c r="N211" s="8" t="n"/>
      <c r="O211" s="6" t="n"/>
      <c r="T211" s="6" t="n"/>
      <c r="Z211" s="6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8" t="n"/>
    </row>
    <row r="212" ht="12.75" customHeight="1" s="517">
      <c r="E212" s="41" t="n"/>
      <c r="N212" s="8" t="n"/>
      <c r="O212" s="6" t="n"/>
      <c r="T212" s="6" t="n"/>
      <c r="Z212" s="6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8" t="n"/>
    </row>
    <row r="213" ht="12.75" customHeight="1" s="517">
      <c r="E213" s="41" t="n"/>
      <c r="N213" s="8" t="n"/>
      <c r="O213" s="6" t="n"/>
      <c r="T213" s="6" t="n"/>
      <c r="Z213" s="6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8" t="n"/>
    </row>
    <row r="214" ht="12.75" customHeight="1" s="517">
      <c r="E214" s="41" t="n"/>
      <c r="N214" s="8" t="n"/>
      <c r="O214" s="6" t="n"/>
      <c r="T214" s="6" t="n"/>
      <c r="Z214" s="6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8" t="n"/>
    </row>
    <row r="215" ht="12.75" customHeight="1" s="517">
      <c r="E215" s="41" t="n"/>
      <c r="N215" s="8" t="n"/>
      <c r="O215" s="6" t="n"/>
      <c r="T215" s="6" t="n"/>
      <c r="Z215" s="6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8" t="n"/>
    </row>
    <row r="216" ht="12.75" customHeight="1" s="517">
      <c r="E216" s="41" t="n"/>
      <c r="N216" s="8" t="n"/>
      <c r="O216" s="6" t="n"/>
      <c r="T216" s="6" t="n"/>
      <c r="Z216" s="6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8" t="n"/>
    </row>
    <row r="217" ht="12.75" customHeight="1" s="517">
      <c r="E217" s="41" t="n"/>
      <c r="N217" s="8" t="n"/>
      <c r="O217" s="6" t="n"/>
      <c r="T217" s="6" t="n"/>
      <c r="Z217" s="6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8" t="n"/>
    </row>
    <row r="218" ht="12.75" customHeight="1" s="517">
      <c r="E218" s="41" t="n"/>
      <c r="N218" s="8" t="n"/>
      <c r="O218" s="6" t="n"/>
      <c r="T218" s="6" t="n"/>
      <c r="Z218" s="6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8" t="n"/>
    </row>
    <row r="219" ht="12.75" customHeight="1" s="517">
      <c r="E219" s="41" t="n"/>
      <c r="N219" s="8" t="n"/>
      <c r="O219" s="6" t="n"/>
      <c r="T219" s="6" t="n"/>
      <c r="Z219" s="6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8" t="n"/>
    </row>
    <row r="220" ht="12.75" customHeight="1" s="517">
      <c r="E220" s="41" t="n"/>
      <c r="N220" s="8" t="n"/>
      <c r="O220" s="6" t="n"/>
      <c r="T220" s="6" t="n"/>
      <c r="Z220" s="6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8" t="n"/>
    </row>
    <row r="221" ht="12.75" customHeight="1" s="517">
      <c r="E221" s="41" t="n"/>
      <c r="N221" s="8" t="n"/>
      <c r="O221" s="6" t="n"/>
      <c r="T221" s="6" t="n"/>
      <c r="Z221" s="6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8" t="n"/>
    </row>
    <row r="222" ht="12.75" customHeight="1" s="517">
      <c r="E222" s="41" t="n"/>
      <c r="N222" s="8" t="n"/>
      <c r="O222" s="6" t="n"/>
      <c r="T222" s="6" t="n"/>
      <c r="Z222" s="6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8" t="n"/>
    </row>
    <row r="223" ht="12.75" customHeight="1" s="517">
      <c r="E223" s="41" t="n"/>
      <c r="N223" s="8" t="n"/>
      <c r="O223" s="6" t="n"/>
      <c r="T223" s="6" t="n"/>
      <c r="Z223" s="6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8" t="n"/>
    </row>
    <row r="224" ht="12.75" customHeight="1" s="517">
      <c r="E224" s="41" t="n"/>
      <c r="N224" s="8" t="n"/>
      <c r="O224" s="6" t="n"/>
      <c r="T224" s="6" t="n"/>
      <c r="Z224" s="6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8" t="n"/>
    </row>
    <row r="225" ht="12.75" customHeight="1" s="517">
      <c r="E225" s="41" t="n"/>
      <c r="N225" s="8" t="n"/>
      <c r="O225" s="6" t="n"/>
      <c r="T225" s="6" t="n"/>
      <c r="Z225" s="6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8" t="n"/>
    </row>
    <row r="226" ht="12.75" customHeight="1" s="517">
      <c r="E226" s="41" t="n"/>
      <c r="N226" s="8" t="n"/>
      <c r="O226" s="6" t="n"/>
      <c r="T226" s="6" t="n"/>
      <c r="Z226" s="6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8" t="n"/>
    </row>
    <row r="227" ht="12.75" customHeight="1" s="517">
      <c r="E227" s="41" t="n"/>
      <c r="N227" s="8" t="n"/>
      <c r="O227" s="6" t="n"/>
      <c r="T227" s="6" t="n"/>
      <c r="Z227" s="6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8" t="n"/>
    </row>
    <row r="228" ht="12.75" customHeight="1" s="517">
      <c r="E228" s="41" t="n"/>
      <c r="N228" s="8" t="n"/>
      <c r="O228" s="6" t="n"/>
      <c r="T228" s="6" t="n"/>
      <c r="Z228" s="6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8" t="n"/>
    </row>
    <row r="229" ht="12.75" customHeight="1" s="517">
      <c r="E229" s="41" t="n"/>
      <c r="N229" s="8" t="n"/>
      <c r="O229" s="6" t="n"/>
      <c r="T229" s="6" t="n"/>
      <c r="Z229" s="6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8" t="n"/>
    </row>
    <row r="230" ht="12.75" customHeight="1" s="517">
      <c r="E230" s="41" t="n"/>
      <c r="N230" s="8" t="n"/>
      <c r="O230" s="6" t="n"/>
      <c r="T230" s="6" t="n"/>
      <c r="Z230" s="6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8" t="n"/>
    </row>
    <row r="231" ht="12.75" customHeight="1" s="517">
      <c r="E231" s="41" t="n"/>
      <c r="N231" s="8" t="n"/>
      <c r="O231" s="6" t="n"/>
      <c r="T231" s="6" t="n"/>
      <c r="Z231" s="6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8" t="n"/>
    </row>
    <row r="232" ht="12.75" customHeight="1" s="517">
      <c r="E232" s="41" t="n"/>
      <c r="N232" s="8" t="n"/>
      <c r="O232" s="6" t="n"/>
      <c r="T232" s="6" t="n"/>
      <c r="Z232" s="6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8" t="n"/>
    </row>
    <row r="233" ht="12.75" customHeight="1" s="517">
      <c r="E233" s="41" t="n"/>
      <c r="N233" s="8" t="n"/>
      <c r="O233" s="6" t="n"/>
      <c r="T233" s="6" t="n"/>
      <c r="Z233" s="6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8" t="n"/>
    </row>
    <row r="234" ht="12.75" customHeight="1" s="517">
      <c r="E234" s="41" t="n"/>
      <c r="N234" s="8" t="n"/>
      <c r="O234" s="6" t="n"/>
      <c r="T234" s="6" t="n"/>
      <c r="Z234" s="6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8" t="n"/>
    </row>
    <row r="235" ht="12.75" customHeight="1" s="517">
      <c r="E235" s="41" t="n"/>
      <c r="N235" s="8" t="n"/>
      <c r="O235" s="6" t="n"/>
      <c r="T235" s="6" t="n"/>
      <c r="Z235" s="6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8" t="n"/>
    </row>
    <row r="236" ht="12.75" customHeight="1" s="517">
      <c r="E236" s="41" t="n"/>
      <c r="N236" s="8" t="n"/>
      <c r="O236" s="6" t="n"/>
      <c r="T236" s="6" t="n"/>
      <c r="Z236" s="6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8" t="n"/>
    </row>
    <row r="237" ht="12.75" customHeight="1" s="517">
      <c r="E237" s="41" t="n"/>
      <c r="N237" s="8" t="n"/>
      <c r="O237" s="6" t="n"/>
      <c r="T237" s="6" t="n"/>
      <c r="Z237" s="6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8" t="n"/>
    </row>
    <row r="238" ht="12.75" customHeight="1" s="517">
      <c r="E238" s="41" t="n"/>
      <c r="N238" s="8" t="n"/>
      <c r="O238" s="6" t="n"/>
      <c r="T238" s="6" t="n"/>
      <c r="Z238" s="6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8" t="n"/>
    </row>
    <row r="239" ht="12.75" customHeight="1" s="517">
      <c r="E239" s="41" t="n"/>
      <c r="N239" s="8" t="n"/>
      <c r="O239" s="6" t="n"/>
      <c r="T239" s="6" t="n"/>
      <c r="Z239" s="6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8" t="n"/>
    </row>
    <row r="240" ht="12.75" customHeight="1" s="517">
      <c r="E240" s="41" t="n"/>
      <c r="N240" s="8" t="n"/>
      <c r="O240" s="6" t="n"/>
      <c r="T240" s="6" t="n"/>
      <c r="Z240" s="6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8" t="n"/>
    </row>
    <row r="241" ht="12.75" customHeight="1" s="517">
      <c r="E241" s="41" t="n"/>
      <c r="N241" s="8" t="n"/>
      <c r="O241" s="6" t="n"/>
      <c r="T241" s="6" t="n"/>
      <c r="Z241" s="6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8" t="n"/>
    </row>
    <row r="242" ht="12.75" customHeight="1" s="517">
      <c r="E242" s="41" t="n"/>
      <c r="N242" s="8" t="n"/>
      <c r="O242" s="6" t="n"/>
      <c r="T242" s="6" t="n"/>
      <c r="Z242" s="6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8" t="n"/>
    </row>
    <row r="243" ht="12.75" customHeight="1" s="517">
      <c r="E243" s="41" t="n"/>
      <c r="N243" s="8" t="n"/>
      <c r="O243" s="6" t="n"/>
      <c r="T243" s="6" t="n"/>
      <c r="Z243" s="6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8" t="n"/>
    </row>
    <row r="244" ht="12.75" customHeight="1" s="517">
      <c r="E244" s="41" t="n"/>
      <c r="N244" s="8" t="n"/>
      <c r="O244" s="6" t="n"/>
      <c r="T244" s="6" t="n"/>
      <c r="Z244" s="6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8" t="n"/>
    </row>
    <row r="245" ht="12.75" customHeight="1" s="517">
      <c r="E245" s="41" t="n"/>
      <c r="N245" s="8" t="n"/>
      <c r="O245" s="6" t="n"/>
      <c r="T245" s="6" t="n"/>
      <c r="Z245" s="6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8" t="n"/>
    </row>
    <row r="246" ht="12.75" customHeight="1" s="517">
      <c r="E246" s="41" t="n"/>
      <c r="N246" s="8" t="n"/>
      <c r="O246" s="6" t="n"/>
      <c r="T246" s="6" t="n"/>
      <c r="Z246" s="6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8" t="n"/>
    </row>
    <row r="247" ht="12.75" customHeight="1" s="517">
      <c r="E247" s="41" t="n"/>
      <c r="N247" s="8" t="n"/>
      <c r="O247" s="6" t="n"/>
      <c r="T247" s="6" t="n"/>
      <c r="Z247" s="6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8" t="n"/>
    </row>
    <row r="248" ht="12.75" customHeight="1" s="517">
      <c r="E248" s="41" t="n"/>
      <c r="N248" s="8" t="n"/>
      <c r="O248" s="6" t="n"/>
      <c r="T248" s="6" t="n"/>
      <c r="Z248" s="6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8" t="n"/>
    </row>
    <row r="249" ht="12.75" customHeight="1" s="517">
      <c r="E249" s="41" t="n"/>
      <c r="N249" s="8" t="n"/>
      <c r="O249" s="6" t="n"/>
      <c r="T249" s="6" t="n"/>
      <c r="Z249" s="6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8" t="n"/>
    </row>
    <row r="250" ht="12.75" customHeight="1" s="517">
      <c r="E250" s="41" t="n"/>
      <c r="N250" s="8" t="n"/>
      <c r="O250" s="6" t="n"/>
      <c r="T250" s="6" t="n"/>
      <c r="Z250" s="6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8" t="n"/>
    </row>
    <row r="251" ht="12.75" customHeight="1" s="517">
      <c r="E251" s="41" t="n"/>
      <c r="N251" s="8" t="n"/>
      <c r="O251" s="6" t="n"/>
      <c r="T251" s="6" t="n"/>
      <c r="Z251" s="6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8" t="n"/>
    </row>
    <row r="252" ht="12.75" customHeight="1" s="517">
      <c r="E252" s="41" t="n"/>
      <c r="N252" s="8" t="n"/>
      <c r="O252" s="6" t="n"/>
      <c r="T252" s="6" t="n"/>
      <c r="Z252" s="6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8" t="n"/>
    </row>
    <row r="253" ht="12.75" customHeight="1" s="517">
      <c r="E253" s="41" t="n"/>
      <c r="N253" s="8" t="n"/>
      <c r="O253" s="6" t="n"/>
      <c r="T253" s="6" t="n"/>
      <c r="Z253" s="6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8" t="n"/>
    </row>
    <row r="254" ht="12.75" customHeight="1" s="517">
      <c r="E254" s="41" t="n"/>
      <c r="N254" s="8" t="n"/>
      <c r="O254" s="6" t="n"/>
      <c r="T254" s="6" t="n"/>
      <c r="Z254" s="6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8" t="n"/>
    </row>
    <row r="255" ht="12.75" customHeight="1" s="517">
      <c r="E255" s="41" t="n"/>
      <c r="N255" s="8" t="n"/>
      <c r="O255" s="6" t="n"/>
      <c r="T255" s="6" t="n"/>
      <c r="Z255" s="6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8" t="n"/>
    </row>
    <row r="256" ht="12.75" customHeight="1" s="517">
      <c r="E256" s="41" t="n"/>
      <c r="N256" s="8" t="n"/>
      <c r="O256" s="6" t="n"/>
      <c r="T256" s="6" t="n"/>
      <c r="Z256" s="6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8" t="n"/>
    </row>
    <row r="257" ht="12.75" customHeight="1" s="517">
      <c r="E257" s="41" t="n"/>
      <c r="N257" s="8" t="n"/>
      <c r="O257" s="6" t="n"/>
      <c r="T257" s="6" t="n"/>
      <c r="Z257" s="6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8" t="n"/>
    </row>
    <row r="258" ht="12.75" customHeight="1" s="517">
      <c r="E258" s="41" t="n"/>
      <c r="N258" s="8" t="n"/>
      <c r="O258" s="6" t="n"/>
      <c r="T258" s="6" t="n"/>
      <c r="Z258" s="6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8" t="n"/>
    </row>
    <row r="259" ht="12.75" customHeight="1" s="517">
      <c r="E259" s="41" t="n"/>
      <c r="N259" s="8" t="n"/>
      <c r="O259" s="6" t="n"/>
      <c r="T259" s="6" t="n"/>
      <c r="Z259" s="6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8" t="n"/>
    </row>
    <row r="260" ht="12.75" customHeight="1" s="517">
      <c r="E260" s="41" t="n"/>
      <c r="N260" s="8" t="n"/>
      <c r="O260" s="6" t="n"/>
      <c r="T260" s="6" t="n"/>
      <c r="Z260" s="6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8" t="n"/>
    </row>
    <row r="261" ht="12.75" customHeight="1" s="517">
      <c r="E261" s="41" t="n"/>
      <c r="N261" s="8" t="n"/>
      <c r="O261" s="6" t="n"/>
      <c r="T261" s="6" t="n"/>
      <c r="Z261" s="6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8" t="n"/>
    </row>
    <row r="262" ht="12.75" customHeight="1" s="517">
      <c r="E262" s="41" t="n"/>
      <c r="N262" s="8" t="n"/>
      <c r="O262" s="6" t="n"/>
      <c r="T262" s="6" t="n"/>
      <c r="Z262" s="6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8" t="n"/>
    </row>
    <row r="263" ht="12.75" customHeight="1" s="517">
      <c r="E263" s="41" t="n"/>
      <c r="N263" s="8" t="n"/>
      <c r="O263" s="6" t="n"/>
      <c r="T263" s="6" t="n"/>
      <c r="Z263" s="6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8" t="n"/>
    </row>
    <row r="264" ht="12.75" customHeight="1" s="517">
      <c r="E264" s="41" t="n"/>
      <c r="N264" s="8" t="n"/>
      <c r="O264" s="6" t="n"/>
      <c r="T264" s="6" t="n"/>
      <c r="Z264" s="6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8" t="n"/>
    </row>
    <row r="265" ht="12.75" customHeight="1" s="517">
      <c r="E265" s="41" t="n"/>
      <c r="N265" s="8" t="n"/>
      <c r="O265" s="6" t="n"/>
      <c r="T265" s="6" t="n"/>
      <c r="Z265" s="6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8" t="n"/>
    </row>
    <row r="266" ht="12.75" customHeight="1" s="517">
      <c r="E266" s="41" t="n"/>
      <c r="N266" s="8" t="n"/>
      <c r="O266" s="6" t="n"/>
      <c r="T266" s="6" t="n"/>
      <c r="Z266" s="6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8" t="n"/>
    </row>
    <row r="267" ht="12.75" customHeight="1" s="517">
      <c r="E267" s="41" t="n"/>
      <c r="N267" s="8" t="n"/>
      <c r="O267" s="6" t="n"/>
      <c r="T267" s="6" t="n"/>
      <c r="Z267" s="6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8" t="n"/>
    </row>
    <row r="268" ht="12.75" customHeight="1" s="517">
      <c r="E268" s="41" t="n"/>
      <c r="N268" s="8" t="n"/>
      <c r="O268" s="6" t="n"/>
      <c r="T268" s="6" t="n"/>
      <c r="Z268" s="6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8" t="n"/>
    </row>
    <row r="269" ht="12.75" customHeight="1" s="517">
      <c r="E269" s="41" t="n"/>
      <c r="N269" s="8" t="n"/>
      <c r="O269" s="6" t="n"/>
      <c r="T269" s="6" t="n"/>
      <c r="Z269" s="6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8" t="n"/>
    </row>
    <row r="270" ht="12.75" customHeight="1" s="517">
      <c r="E270" s="41" t="n"/>
      <c r="N270" s="8" t="n"/>
      <c r="O270" s="6" t="n"/>
      <c r="T270" s="6" t="n"/>
      <c r="Z270" s="6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8" t="n"/>
    </row>
    <row r="271" ht="12.75" customHeight="1" s="517">
      <c r="E271" s="41" t="n"/>
      <c r="N271" s="8" t="n"/>
      <c r="O271" s="6" t="n"/>
      <c r="T271" s="6" t="n"/>
      <c r="Z271" s="6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8" t="n"/>
    </row>
    <row r="272" ht="12.75" customHeight="1" s="517">
      <c r="E272" s="41" t="n"/>
      <c r="N272" s="8" t="n"/>
      <c r="O272" s="6" t="n"/>
      <c r="T272" s="6" t="n"/>
      <c r="Z272" s="6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8" t="n"/>
    </row>
    <row r="273" ht="12.75" customHeight="1" s="517">
      <c r="E273" s="41" t="n"/>
      <c r="N273" s="8" t="n"/>
      <c r="O273" s="6" t="n"/>
      <c r="T273" s="6" t="n"/>
      <c r="Z273" s="6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8" t="n"/>
    </row>
    <row r="274" ht="12.75" customHeight="1" s="517">
      <c r="E274" s="41" t="n"/>
      <c r="N274" s="8" t="n"/>
      <c r="O274" s="6" t="n"/>
      <c r="T274" s="6" t="n"/>
      <c r="Z274" s="6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8" t="n"/>
    </row>
    <row r="275" ht="12.75" customHeight="1" s="517">
      <c r="E275" s="41" t="n"/>
      <c r="N275" s="8" t="n"/>
      <c r="O275" s="6" t="n"/>
      <c r="T275" s="6" t="n"/>
      <c r="Z275" s="6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8" t="n"/>
    </row>
    <row r="276" ht="12.75" customHeight="1" s="517">
      <c r="E276" s="41" t="n"/>
      <c r="N276" s="8" t="n"/>
      <c r="O276" s="6" t="n"/>
      <c r="T276" s="6" t="n"/>
      <c r="Z276" s="6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8" t="n"/>
    </row>
    <row r="277" ht="12.75" customHeight="1" s="517">
      <c r="E277" s="41" t="n"/>
      <c r="N277" s="8" t="n"/>
      <c r="O277" s="6" t="n"/>
      <c r="T277" s="6" t="n"/>
      <c r="Z277" s="6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8" t="n"/>
    </row>
    <row r="278" ht="12.75" customHeight="1" s="517">
      <c r="E278" s="41" t="n"/>
      <c r="N278" s="8" t="n"/>
      <c r="O278" s="6" t="n"/>
      <c r="T278" s="6" t="n"/>
      <c r="Z278" s="6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8" t="n"/>
    </row>
    <row r="279" ht="12.75" customHeight="1" s="517">
      <c r="E279" s="41" t="n"/>
      <c r="N279" s="8" t="n"/>
      <c r="O279" s="6" t="n"/>
      <c r="T279" s="6" t="n"/>
      <c r="Z279" s="6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8" t="n"/>
    </row>
    <row r="280" ht="12.75" customHeight="1" s="517">
      <c r="E280" s="41" t="n"/>
      <c r="N280" s="8" t="n"/>
      <c r="O280" s="6" t="n"/>
      <c r="T280" s="6" t="n"/>
      <c r="Z280" s="6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8" t="n"/>
    </row>
    <row r="281" ht="12.75" customHeight="1" s="517">
      <c r="E281" s="41" t="n"/>
      <c r="N281" s="8" t="n"/>
      <c r="O281" s="6" t="n"/>
      <c r="T281" s="6" t="n"/>
      <c r="Z281" s="6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8" t="n"/>
    </row>
    <row r="282" ht="12.75" customHeight="1" s="517">
      <c r="E282" s="41" t="n"/>
      <c r="N282" s="8" t="n"/>
      <c r="O282" s="6" t="n"/>
      <c r="T282" s="6" t="n"/>
      <c r="Z282" s="6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8" t="n"/>
    </row>
    <row r="283" ht="12.75" customHeight="1" s="517">
      <c r="E283" s="41" t="n"/>
      <c r="N283" s="8" t="n"/>
      <c r="O283" s="6" t="n"/>
      <c r="T283" s="6" t="n"/>
      <c r="Z283" s="6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8" t="n"/>
    </row>
    <row r="284" ht="12.75" customHeight="1" s="517">
      <c r="E284" s="41" t="n"/>
      <c r="N284" s="8" t="n"/>
      <c r="O284" s="6" t="n"/>
      <c r="T284" s="6" t="n"/>
      <c r="Z284" s="6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8" t="n"/>
    </row>
    <row r="285" ht="12.75" customHeight="1" s="517">
      <c r="E285" s="41" t="n"/>
      <c r="N285" s="8" t="n"/>
      <c r="O285" s="6" t="n"/>
      <c r="T285" s="6" t="n"/>
      <c r="Z285" s="6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8" t="n"/>
    </row>
    <row r="286" ht="12.75" customHeight="1" s="517">
      <c r="E286" s="41" t="n"/>
      <c r="N286" s="8" t="n"/>
      <c r="O286" s="6" t="n"/>
      <c r="T286" s="6" t="n"/>
      <c r="Z286" s="6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8" t="n"/>
    </row>
    <row r="287" ht="12.75" customHeight="1" s="517">
      <c r="E287" s="41" t="n"/>
      <c r="N287" s="8" t="n"/>
      <c r="O287" s="6" t="n"/>
      <c r="T287" s="6" t="n"/>
      <c r="Z287" s="6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8" t="n"/>
    </row>
    <row r="288" ht="12.75" customHeight="1" s="517">
      <c r="E288" s="41" t="n"/>
      <c r="N288" s="8" t="n"/>
      <c r="O288" s="6" t="n"/>
      <c r="T288" s="6" t="n"/>
      <c r="Z288" s="6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8" t="n"/>
    </row>
    <row r="289" ht="12.75" customHeight="1" s="517">
      <c r="E289" s="41" t="n"/>
      <c r="N289" s="8" t="n"/>
      <c r="O289" s="6" t="n"/>
      <c r="T289" s="6" t="n"/>
      <c r="Z289" s="6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8" t="n"/>
    </row>
    <row r="290" ht="12.75" customHeight="1" s="517">
      <c r="E290" s="41" t="n"/>
      <c r="N290" s="8" t="n"/>
      <c r="O290" s="6" t="n"/>
      <c r="T290" s="6" t="n"/>
      <c r="Z290" s="6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8" t="n"/>
    </row>
    <row r="291" ht="12.75" customHeight="1" s="517">
      <c r="E291" s="41" t="n"/>
      <c r="N291" s="8" t="n"/>
      <c r="O291" s="6" t="n"/>
      <c r="T291" s="6" t="n"/>
      <c r="Z291" s="6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8" t="n"/>
    </row>
    <row r="292" ht="12.75" customHeight="1" s="517">
      <c r="E292" s="41" t="n"/>
      <c r="N292" s="8" t="n"/>
      <c r="O292" s="6" t="n"/>
      <c r="T292" s="6" t="n"/>
      <c r="Z292" s="6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8" t="n"/>
    </row>
    <row r="293" ht="12.75" customHeight="1" s="517">
      <c r="E293" s="41" t="n"/>
      <c r="N293" s="8" t="n"/>
      <c r="O293" s="6" t="n"/>
      <c r="T293" s="6" t="n"/>
      <c r="Z293" s="6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8" t="n"/>
    </row>
    <row r="294" ht="12.75" customHeight="1" s="517">
      <c r="E294" s="41" t="n"/>
      <c r="N294" s="8" t="n"/>
      <c r="O294" s="6" t="n"/>
      <c r="T294" s="6" t="n"/>
      <c r="Z294" s="6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8" t="n"/>
    </row>
    <row r="295" ht="12.75" customHeight="1" s="517">
      <c r="E295" s="41" t="n"/>
      <c r="N295" s="8" t="n"/>
      <c r="O295" s="6" t="n"/>
      <c r="T295" s="6" t="n"/>
      <c r="Z295" s="6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8" t="n"/>
    </row>
    <row r="296" ht="12.75" customHeight="1" s="517">
      <c r="E296" s="41" t="n"/>
      <c r="N296" s="8" t="n"/>
      <c r="O296" s="6" t="n"/>
      <c r="T296" s="6" t="n"/>
      <c r="Z296" s="6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8" t="n"/>
    </row>
    <row r="297" ht="12.75" customHeight="1" s="517">
      <c r="E297" s="41" t="n"/>
      <c r="N297" s="8" t="n"/>
      <c r="O297" s="6" t="n"/>
      <c r="T297" s="6" t="n"/>
      <c r="Z297" s="6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8" t="n"/>
    </row>
    <row r="298" ht="12.75" customHeight="1" s="517">
      <c r="E298" s="41" t="n"/>
      <c r="N298" s="8" t="n"/>
      <c r="O298" s="6" t="n"/>
      <c r="T298" s="6" t="n"/>
      <c r="Z298" s="6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8" t="n"/>
    </row>
    <row r="299" ht="12.75" customHeight="1" s="517">
      <c r="E299" s="41" t="n"/>
      <c r="N299" s="8" t="n"/>
      <c r="O299" s="6" t="n"/>
      <c r="T299" s="6" t="n"/>
      <c r="Z299" s="6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8" t="n"/>
    </row>
    <row r="300" ht="12.75" customHeight="1" s="517">
      <c r="E300" s="41" t="n"/>
      <c r="N300" s="8" t="n"/>
      <c r="O300" s="6" t="n"/>
      <c r="T300" s="6" t="n"/>
      <c r="Z300" s="6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8" t="n"/>
    </row>
    <row r="301" ht="12.75" customHeight="1" s="517">
      <c r="E301" s="41" t="n"/>
      <c r="N301" s="8" t="n"/>
      <c r="O301" s="6" t="n"/>
      <c r="T301" s="6" t="n"/>
      <c r="Z301" s="6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8" t="n"/>
    </row>
    <row r="302" ht="12.75" customHeight="1" s="517">
      <c r="E302" s="41" t="n"/>
      <c r="N302" s="8" t="n"/>
      <c r="O302" s="6" t="n"/>
      <c r="T302" s="6" t="n"/>
      <c r="Z302" s="6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8" t="n"/>
    </row>
    <row r="303" ht="12.75" customHeight="1" s="517">
      <c r="E303" s="41" t="n"/>
      <c r="N303" s="8" t="n"/>
      <c r="O303" s="6" t="n"/>
      <c r="T303" s="6" t="n"/>
      <c r="Z303" s="6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8" t="n"/>
    </row>
    <row r="304" ht="12.75" customHeight="1" s="517">
      <c r="E304" s="41" t="n"/>
      <c r="N304" s="8" t="n"/>
      <c r="O304" s="6" t="n"/>
      <c r="T304" s="6" t="n"/>
      <c r="Z304" s="6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8" t="n"/>
    </row>
    <row r="305" ht="12.75" customHeight="1" s="517">
      <c r="E305" s="41" t="n"/>
      <c r="N305" s="8" t="n"/>
      <c r="O305" s="6" t="n"/>
      <c r="T305" s="6" t="n"/>
      <c r="Z305" s="6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8" t="n"/>
    </row>
    <row r="306" ht="12.75" customHeight="1" s="517">
      <c r="E306" s="41" t="n"/>
      <c r="N306" s="8" t="n"/>
      <c r="O306" s="6" t="n"/>
      <c r="T306" s="6" t="n"/>
      <c r="Z306" s="6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8" t="n"/>
    </row>
    <row r="307" ht="12.75" customHeight="1" s="517">
      <c r="E307" s="41" t="n"/>
      <c r="N307" s="8" t="n"/>
      <c r="O307" s="6" t="n"/>
      <c r="T307" s="6" t="n"/>
      <c r="Z307" s="6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8" t="n"/>
    </row>
    <row r="308" ht="12.75" customHeight="1" s="517">
      <c r="E308" s="41" t="n"/>
      <c r="N308" s="8" t="n"/>
      <c r="O308" s="6" t="n"/>
      <c r="T308" s="6" t="n"/>
      <c r="Z308" s="6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8" t="n"/>
    </row>
    <row r="309" ht="12.75" customHeight="1" s="517">
      <c r="E309" s="41" t="n"/>
      <c r="N309" s="8" t="n"/>
      <c r="O309" s="6" t="n"/>
      <c r="T309" s="6" t="n"/>
      <c r="Z309" s="6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8" t="n"/>
    </row>
    <row r="310" ht="12.75" customHeight="1" s="517">
      <c r="E310" s="41" t="n"/>
      <c r="N310" s="8" t="n"/>
      <c r="O310" s="6" t="n"/>
      <c r="T310" s="6" t="n"/>
      <c r="Z310" s="6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8" t="n"/>
    </row>
    <row r="311" ht="12.75" customHeight="1" s="517">
      <c r="E311" s="41" t="n"/>
      <c r="N311" s="8" t="n"/>
      <c r="O311" s="6" t="n"/>
      <c r="T311" s="6" t="n"/>
      <c r="Z311" s="6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8" t="n"/>
    </row>
    <row r="312" ht="12.75" customHeight="1" s="517">
      <c r="E312" s="41" t="n"/>
      <c r="N312" s="8" t="n"/>
      <c r="O312" s="6" t="n"/>
      <c r="T312" s="6" t="n"/>
      <c r="Z312" s="6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8" t="n"/>
    </row>
    <row r="313" ht="12.75" customHeight="1" s="517">
      <c r="E313" s="41" t="n"/>
      <c r="N313" s="8" t="n"/>
      <c r="O313" s="6" t="n"/>
      <c r="T313" s="6" t="n"/>
      <c r="Z313" s="6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8" t="n"/>
    </row>
    <row r="314" ht="12.75" customHeight="1" s="517">
      <c r="E314" s="41" t="n"/>
      <c r="N314" s="8" t="n"/>
      <c r="O314" s="6" t="n"/>
      <c r="T314" s="6" t="n"/>
      <c r="Z314" s="6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8" t="n"/>
    </row>
    <row r="315" ht="12.75" customHeight="1" s="517">
      <c r="E315" s="41" t="n"/>
      <c r="N315" s="8" t="n"/>
      <c r="O315" s="6" t="n"/>
      <c r="T315" s="6" t="n"/>
      <c r="Z315" s="6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8" t="n"/>
    </row>
    <row r="316" ht="12.75" customHeight="1" s="517">
      <c r="E316" s="41" t="n"/>
      <c r="N316" s="8" t="n"/>
      <c r="O316" s="6" t="n"/>
      <c r="T316" s="6" t="n"/>
      <c r="Z316" s="6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8" t="n"/>
    </row>
    <row r="317" ht="12.75" customHeight="1" s="517">
      <c r="E317" s="41" t="n"/>
      <c r="N317" s="8" t="n"/>
      <c r="O317" s="6" t="n"/>
      <c r="T317" s="6" t="n"/>
      <c r="Z317" s="6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8" t="n"/>
    </row>
    <row r="318" ht="12.75" customHeight="1" s="517">
      <c r="E318" s="41" t="n"/>
      <c r="N318" s="8" t="n"/>
      <c r="O318" s="6" t="n"/>
      <c r="T318" s="6" t="n"/>
      <c r="Z318" s="6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8" t="n"/>
    </row>
    <row r="319" ht="12.75" customHeight="1" s="517">
      <c r="E319" s="41" t="n"/>
      <c r="N319" s="8" t="n"/>
      <c r="O319" s="6" t="n"/>
      <c r="T319" s="6" t="n"/>
      <c r="Z319" s="6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8" t="n"/>
    </row>
    <row r="320" ht="12.75" customHeight="1" s="517">
      <c r="E320" s="41" t="n"/>
      <c r="N320" s="8" t="n"/>
      <c r="O320" s="6" t="n"/>
      <c r="T320" s="6" t="n"/>
      <c r="Z320" s="6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8" t="n"/>
    </row>
    <row r="321" ht="12.75" customHeight="1" s="517">
      <c r="E321" s="41" t="n"/>
      <c r="N321" s="8" t="n"/>
      <c r="O321" s="6" t="n"/>
      <c r="T321" s="6" t="n"/>
      <c r="Z321" s="6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8" t="n"/>
    </row>
    <row r="322" ht="12.75" customHeight="1" s="517">
      <c r="E322" s="41" t="n"/>
      <c r="N322" s="8" t="n"/>
      <c r="O322" s="6" t="n"/>
      <c r="T322" s="6" t="n"/>
      <c r="Z322" s="6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8" t="n"/>
    </row>
    <row r="323" ht="12.75" customHeight="1" s="517">
      <c r="E323" s="41" t="n"/>
      <c r="N323" s="8" t="n"/>
      <c r="O323" s="6" t="n"/>
      <c r="T323" s="6" t="n"/>
      <c r="Z323" s="6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8" t="n"/>
    </row>
    <row r="324" ht="12.75" customHeight="1" s="517">
      <c r="E324" s="41" t="n"/>
      <c r="N324" s="8" t="n"/>
      <c r="O324" s="6" t="n"/>
      <c r="T324" s="6" t="n"/>
      <c r="Z324" s="6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8" t="n"/>
    </row>
    <row r="325" ht="12.75" customHeight="1" s="517">
      <c r="E325" s="41" t="n"/>
      <c r="N325" s="8" t="n"/>
      <c r="O325" s="6" t="n"/>
      <c r="T325" s="6" t="n"/>
      <c r="Z325" s="6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8" t="n"/>
    </row>
    <row r="326" ht="12.75" customHeight="1" s="517">
      <c r="E326" s="41" t="n"/>
      <c r="N326" s="8" t="n"/>
      <c r="O326" s="6" t="n"/>
      <c r="T326" s="6" t="n"/>
      <c r="Z326" s="6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8" t="n"/>
    </row>
    <row r="327" ht="12.75" customHeight="1" s="517">
      <c r="E327" s="41" t="n"/>
      <c r="N327" s="8" t="n"/>
      <c r="O327" s="6" t="n"/>
      <c r="T327" s="6" t="n"/>
      <c r="Z327" s="6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8" t="n"/>
    </row>
    <row r="328" ht="12.75" customHeight="1" s="517">
      <c r="E328" s="41" t="n"/>
      <c r="N328" s="8" t="n"/>
      <c r="O328" s="6" t="n"/>
      <c r="T328" s="6" t="n"/>
      <c r="Z328" s="6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8" t="n"/>
    </row>
    <row r="329" ht="12.75" customHeight="1" s="517">
      <c r="E329" s="41" t="n"/>
      <c r="N329" s="8" t="n"/>
      <c r="O329" s="6" t="n"/>
      <c r="T329" s="6" t="n"/>
      <c r="Z329" s="6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8" t="n"/>
    </row>
    <row r="330" ht="12.75" customHeight="1" s="517">
      <c r="E330" s="41" t="n"/>
      <c r="N330" s="8" t="n"/>
      <c r="O330" s="6" t="n"/>
      <c r="T330" s="6" t="n"/>
      <c r="Z330" s="6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8" t="n"/>
    </row>
    <row r="331" ht="12.75" customHeight="1" s="517">
      <c r="E331" s="41" t="n"/>
      <c r="N331" s="8" t="n"/>
      <c r="O331" s="6" t="n"/>
      <c r="T331" s="6" t="n"/>
      <c r="Z331" s="6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8" t="n"/>
    </row>
    <row r="332" ht="12.75" customHeight="1" s="517">
      <c r="E332" s="41" t="n"/>
      <c r="N332" s="8" t="n"/>
      <c r="O332" s="6" t="n"/>
      <c r="T332" s="6" t="n"/>
      <c r="Z332" s="6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8" t="n"/>
    </row>
    <row r="333" ht="12.75" customHeight="1" s="517">
      <c r="E333" s="41" t="n"/>
      <c r="N333" s="8" t="n"/>
      <c r="O333" s="6" t="n"/>
      <c r="T333" s="6" t="n"/>
      <c r="Z333" s="6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8" t="n"/>
    </row>
    <row r="334" ht="12.75" customHeight="1" s="517">
      <c r="E334" s="41" t="n"/>
      <c r="N334" s="8" t="n"/>
      <c r="O334" s="6" t="n"/>
      <c r="T334" s="6" t="n"/>
      <c r="Z334" s="6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8" t="n"/>
    </row>
    <row r="335" ht="12.75" customHeight="1" s="517">
      <c r="E335" s="41" t="n"/>
      <c r="N335" s="8" t="n"/>
      <c r="O335" s="6" t="n"/>
      <c r="T335" s="6" t="n"/>
      <c r="Z335" s="6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8" t="n"/>
    </row>
    <row r="336" ht="12.75" customHeight="1" s="517">
      <c r="E336" s="41" t="n"/>
      <c r="N336" s="8" t="n"/>
      <c r="O336" s="6" t="n"/>
      <c r="T336" s="6" t="n"/>
      <c r="Z336" s="6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8" t="n"/>
    </row>
    <row r="337" ht="12.75" customHeight="1" s="517">
      <c r="E337" s="41" t="n"/>
      <c r="N337" s="8" t="n"/>
      <c r="O337" s="6" t="n"/>
      <c r="T337" s="6" t="n"/>
      <c r="Z337" s="6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8" t="n"/>
    </row>
    <row r="338" ht="12.75" customHeight="1" s="517">
      <c r="E338" s="41" t="n"/>
      <c r="N338" s="8" t="n"/>
      <c r="O338" s="6" t="n"/>
      <c r="T338" s="6" t="n"/>
      <c r="Z338" s="6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8" t="n"/>
    </row>
    <row r="339" ht="12.75" customHeight="1" s="517">
      <c r="E339" s="41" t="n"/>
      <c r="N339" s="8" t="n"/>
      <c r="O339" s="6" t="n"/>
      <c r="T339" s="6" t="n"/>
      <c r="Z339" s="6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8" t="n"/>
    </row>
    <row r="340" ht="12.75" customHeight="1" s="517">
      <c r="E340" s="41" t="n"/>
      <c r="N340" s="8" t="n"/>
      <c r="O340" s="6" t="n"/>
      <c r="T340" s="6" t="n"/>
      <c r="Z340" s="6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8" t="n"/>
    </row>
    <row r="341" ht="12.75" customHeight="1" s="517">
      <c r="E341" s="41" t="n"/>
      <c r="N341" s="8" t="n"/>
      <c r="O341" s="6" t="n"/>
      <c r="T341" s="6" t="n"/>
      <c r="Z341" s="6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8" t="n"/>
    </row>
    <row r="342" ht="12.75" customHeight="1" s="517">
      <c r="E342" s="41" t="n"/>
      <c r="N342" s="8" t="n"/>
      <c r="O342" s="6" t="n"/>
      <c r="T342" s="6" t="n"/>
      <c r="Z342" s="6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8" t="n"/>
    </row>
    <row r="343" ht="12.75" customHeight="1" s="517">
      <c r="E343" s="41" t="n"/>
      <c r="N343" s="8" t="n"/>
      <c r="O343" s="6" t="n"/>
      <c r="T343" s="6" t="n"/>
      <c r="Z343" s="6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8" t="n"/>
    </row>
    <row r="344" ht="12.75" customHeight="1" s="517">
      <c r="E344" s="41" t="n"/>
      <c r="N344" s="8" t="n"/>
      <c r="O344" s="6" t="n"/>
      <c r="T344" s="6" t="n"/>
      <c r="Z344" s="6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8" t="n"/>
    </row>
    <row r="345" ht="12.75" customHeight="1" s="517">
      <c r="E345" s="41" t="n"/>
      <c r="N345" s="8" t="n"/>
      <c r="O345" s="6" t="n"/>
      <c r="T345" s="6" t="n"/>
      <c r="Z345" s="6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8" t="n"/>
    </row>
    <row r="346" ht="12.75" customHeight="1" s="517">
      <c r="E346" s="41" t="n"/>
      <c r="N346" s="8" t="n"/>
      <c r="O346" s="6" t="n"/>
      <c r="T346" s="6" t="n"/>
      <c r="Z346" s="6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8" t="n"/>
    </row>
    <row r="347" ht="12.75" customHeight="1" s="517">
      <c r="E347" s="41" t="n"/>
      <c r="N347" s="8" t="n"/>
      <c r="O347" s="6" t="n"/>
      <c r="T347" s="6" t="n"/>
      <c r="Z347" s="6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8" t="n"/>
    </row>
    <row r="348" ht="12.75" customHeight="1" s="517">
      <c r="E348" s="41" t="n"/>
      <c r="N348" s="8" t="n"/>
      <c r="O348" s="6" t="n"/>
      <c r="T348" s="6" t="n"/>
      <c r="Z348" s="6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8" t="n"/>
    </row>
    <row r="349" ht="12.75" customHeight="1" s="517">
      <c r="E349" s="41" t="n"/>
      <c r="N349" s="8" t="n"/>
      <c r="O349" s="6" t="n"/>
      <c r="T349" s="6" t="n"/>
      <c r="Z349" s="6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8" t="n"/>
    </row>
    <row r="350" ht="12.75" customHeight="1" s="517">
      <c r="E350" s="41" t="n"/>
      <c r="N350" s="8" t="n"/>
      <c r="O350" s="6" t="n"/>
      <c r="T350" s="6" t="n"/>
      <c r="Z350" s="6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8" t="n"/>
    </row>
    <row r="351" ht="12.75" customHeight="1" s="517">
      <c r="E351" s="41" t="n"/>
      <c r="N351" s="8" t="n"/>
      <c r="O351" s="6" t="n"/>
      <c r="T351" s="6" t="n"/>
      <c r="Z351" s="6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8" t="n"/>
    </row>
    <row r="352" ht="12.75" customHeight="1" s="517">
      <c r="E352" s="41" t="n"/>
      <c r="N352" s="8" t="n"/>
      <c r="O352" s="6" t="n"/>
      <c r="T352" s="6" t="n"/>
      <c r="Z352" s="6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8" t="n"/>
    </row>
    <row r="353" ht="12.75" customHeight="1" s="517">
      <c r="E353" s="41" t="n"/>
      <c r="N353" s="8" t="n"/>
      <c r="O353" s="6" t="n"/>
      <c r="T353" s="6" t="n"/>
      <c r="Z353" s="6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8" t="n"/>
    </row>
    <row r="354" ht="12.75" customHeight="1" s="517">
      <c r="E354" s="41" t="n"/>
      <c r="N354" s="8" t="n"/>
      <c r="O354" s="6" t="n"/>
      <c r="T354" s="6" t="n"/>
      <c r="Z354" s="6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8" t="n"/>
    </row>
    <row r="355" ht="12.75" customHeight="1" s="517">
      <c r="E355" s="41" t="n"/>
      <c r="N355" s="8" t="n"/>
      <c r="O355" s="6" t="n"/>
      <c r="T355" s="6" t="n"/>
      <c r="Z355" s="6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8" t="n"/>
    </row>
    <row r="356" ht="12.75" customHeight="1" s="517">
      <c r="E356" s="41" t="n"/>
      <c r="N356" s="8" t="n"/>
      <c r="O356" s="6" t="n"/>
      <c r="T356" s="6" t="n"/>
      <c r="Z356" s="6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8" t="n"/>
    </row>
    <row r="357" ht="12.75" customHeight="1" s="517">
      <c r="E357" s="41" t="n"/>
      <c r="N357" s="8" t="n"/>
      <c r="O357" s="6" t="n"/>
      <c r="T357" s="6" t="n"/>
      <c r="Z357" s="6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8" t="n"/>
    </row>
    <row r="358" ht="12.75" customHeight="1" s="517">
      <c r="E358" s="41" t="n"/>
      <c r="N358" s="8" t="n"/>
      <c r="O358" s="6" t="n"/>
      <c r="T358" s="6" t="n"/>
      <c r="Z358" s="6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8" t="n"/>
    </row>
    <row r="359" ht="12.75" customHeight="1" s="517">
      <c r="E359" s="41" t="n"/>
      <c r="N359" s="8" t="n"/>
      <c r="O359" s="6" t="n"/>
      <c r="T359" s="6" t="n"/>
      <c r="Z359" s="6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8" t="n"/>
    </row>
    <row r="360" ht="12.75" customHeight="1" s="517">
      <c r="E360" s="41" t="n"/>
      <c r="N360" s="8" t="n"/>
      <c r="O360" s="6" t="n"/>
      <c r="T360" s="6" t="n"/>
      <c r="Z360" s="6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8" t="n"/>
    </row>
    <row r="361" ht="12.75" customHeight="1" s="517">
      <c r="E361" s="41" t="n"/>
      <c r="N361" s="8" t="n"/>
      <c r="O361" s="6" t="n"/>
      <c r="T361" s="6" t="n"/>
      <c r="Z361" s="6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8" t="n"/>
    </row>
    <row r="362" ht="12.75" customHeight="1" s="517">
      <c r="E362" s="41" t="n"/>
      <c r="N362" s="8" t="n"/>
      <c r="O362" s="6" t="n"/>
      <c r="T362" s="6" t="n"/>
      <c r="Z362" s="6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8" t="n"/>
    </row>
    <row r="363" ht="12.75" customHeight="1" s="517">
      <c r="E363" s="41" t="n"/>
      <c r="N363" s="8" t="n"/>
      <c r="O363" s="6" t="n"/>
      <c r="T363" s="6" t="n"/>
      <c r="Z363" s="6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8" t="n"/>
    </row>
    <row r="364" ht="12.75" customHeight="1" s="517">
      <c r="E364" s="41" t="n"/>
      <c r="N364" s="8" t="n"/>
      <c r="O364" s="6" t="n"/>
      <c r="T364" s="6" t="n"/>
      <c r="Z364" s="6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8" t="n"/>
    </row>
    <row r="365" ht="12.75" customHeight="1" s="517">
      <c r="E365" s="41" t="n"/>
      <c r="N365" s="8" t="n"/>
      <c r="O365" s="6" t="n"/>
      <c r="T365" s="6" t="n"/>
      <c r="Z365" s="6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8" t="n"/>
    </row>
    <row r="366" ht="12.75" customHeight="1" s="517">
      <c r="E366" s="41" t="n"/>
      <c r="N366" s="8" t="n"/>
      <c r="O366" s="6" t="n"/>
      <c r="T366" s="6" t="n"/>
      <c r="Z366" s="6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8" t="n"/>
    </row>
    <row r="367" ht="12.75" customHeight="1" s="517">
      <c r="E367" s="41" t="n"/>
      <c r="N367" s="8" t="n"/>
      <c r="O367" s="6" t="n"/>
      <c r="T367" s="6" t="n"/>
      <c r="Z367" s="6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8" t="n"/>
    </row>
    <row r="368" ht="12.75" customHeight="1" s="517">
      <c r="E368" s="41" t="n"/>
      <c r="N368" s="8" t="n"/>
      <c r="O368" s="6" t="n"/>
      <c r="T368" s="6" t="n"/>
      <c r="Z368" s="6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8" t="n"/>
    </row>
    <row r="369" ht="12.75" customHeight="1" s="517">
      <c r="E369" s="41" t="n"/>
      <c r="N369" s="8" t="n"/>
      <c r="O369" s="6" t="n"/>
      <c r="T369" s="6" t="n"/>
      <c r="Z369" s="6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8" t="n"/>
    </row>
    <row r="370" ht="12.75" customHeight="1" s="517">
      <c r="E370" s="41" t="n"/>
      <c r="N370" s="8" t="n"/>
      <c r="O370" s="6" t="n"/>
      <c r="T370" s="6" t="n"/>
      <c r="Z370" s="6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8" t="n"/>
    </row>
    <row r="371" ht="12.75" customHeight="1" s="517">
      <c r="E371" s="41" t="n"/>
      <c r="N371" s="8" t="n"/>
      <c r="O371" s="6" t="n"/>
      <c r="T371" s="6" t="n"/>
      <c r="Z371" s="6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8" t="n"/>
    </row>
    <row r="372" ht="12.75" customHeight="1" s="517">
      <c r="E372" s="41" t="n"/>
      <c r="N372" s="8" t="n"/>
      <c r="O372" s="6" t="n"/>
      <c r="T372" s="6" t="n"/>
      <c r="Z372" s="6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8" t="n"/>
    </row>
    <row r="373" ht="12.75" customHeight="1" s="517">
      <c r="E373" s="41" t="n"/>
      <c r="N373" s="8" t="n"/>
      <c r="O373" s="6" t="n"/>
      <c r="T373" s="6" t="n"/>
      <c r="Z373" s="6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8" t="n"/>
    </row>
    <row r="374" ht="12.75" customHeight="1" s="517">
      <c r="E374" s="41" t="n"/>
      <c r="N374" s="8" t="n"/>
      <c r="O374" s="6" t="n"/>
      <c r="T374" s="6" t="n"/>
      <c r="Z374" s="6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8" t="n"/>
    </row>
    <row r="375" ht="12.75" customHeight="1" s="517">
      <c r="E375" s="41" t="n"/>
      <c r="N375" s="8" t="n"/>
      <c r="O375" s="6" t="n"/>
      <c r="T375" s="6" t="n"/>
      <c r="Z375" s="6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8" t="n"/>
    </row>
    <row r="376" ht="12.75" customHeight="1" s="517">
      <c r="E376" s="41" t="n"/>
      <c r="N376" s="8" t="n"/>
      <c r="O376" s="6" t="n"/>
      <c r="T376" s="6" t="n"/>
      <c r="Z376" s="6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8" t="n"/>
    </row>
    <row r="377" ht="12.75" customHeight="1" s="517">
      <c r="E377" s="41" t="n"/>
      <c r="N377" s="8" t="n"/>
      <c r="O377" s="6" t="n"/>
      <c r="T377" s="6" t="n"/>
      <c r="Z377" s="6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8" t="n"/>
    </row>
    <row r="378" ht="12.75" customHeight="1" s="517">
      <c r="E378" s="41" t="n"/>
      <c r="N378" s="8" t="n"/>
      <c r="O378" s="6" t="n"/>
      <c r="T378" s="6" t="n"/>
      <c r="Z378" s="6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8" t="n"/>
    </row>
    <row r="379" ht="12.75" customHeight="1" s="517">
      <c r="E379" s="41" t="n"/>
      <c r="N379" s="8" t="n"/>
      <c r="O379" s="6" t="n"/>
      <c r="T379" s="6" t="n"/>
      <c r="Z379" s="6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8" t="n"/>
    </row>
    <row r="380" ht="12.75" customHeight="1" s="517">
      <c r="E380" s="41" t="n"/>
      <c r="N380" s="8" t="n"/>
      <c r="O380" s="6" t="n"/>
      <c r="T380" s="6" t="n"/>
      <c r="Z380" s="6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8" t="n"/>
    </row>
    <row r="381" ht="12.75" customHeight="1" s="517">
      <c r="E381" s="41" t="n"/>
      <c r="N381" s="8" t="n"/>
      <c r="O381" s="6" t="n"/>
      <c r="T381" s="6" t="n"/>
      <c r="Z381" s="6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8" t="n"/>
    </row>
    <row r="382" ht="12.75" customHeight="1" s="517">
      <c r="E382" s="41" t="n"/>
      <c r="N382" s="8" t="n"/>
      <c r="O382" s="6" t="n"/>
      <c r="T382" s="6" t="n"/>
      <c r="Z382" s="6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8" t="n"/>
    </row>
    <row r="383" ht="12.75" customHeight="1" s="517">
      <c r="E383" s="41" t="n"/>
      <c r="N383" s="8" t="n"/>
      <c r="O383" s="6" t="n"/>
      <c r="T383" s="6" t="n"/>
      <c r="Z383" s="6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8" t="n"/>
    </row>
    <row r="384" ht="12.75" customHeight="1" s="517">
      <c r="E384" s="41" t="n"/>
      <c r="N384" s="8" t="n"/>
      <c r="O384" s="6" t="n"/>
      <c r="T384" s="6" t="n"/>
      <c r="Z384" s="6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8" t="n"/>
    </row>
    <row r="385" ht="12.75" customHeight="1" s="517">
      <c r="E385" s="41" t="n"/>
      <c r="N385" s="8" t="n"/>
      <c r="O385" s="6" t="n"/>
      <c r="T385" s="6" t="n"/>
      <c r="Z385" s="6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8" t="n"/>
    </row>
    <row r="386" ht="12.75" customHeight="1" s="517">
      <c r="E386" s="41" t="n"/>
      <c r="N386" s="8" t="n"/>
      <c r="O386" s="6" t="n"/>
      <c r="T386" s="6" t="n"/>
      <c r="Z386" s="6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8" t="n"/>
    </row>
    <row r="387" ht="12.75" customHeight="1" s="517">
      <c r="E387" s="41" t="n"/>
      <c r="N387" s="8" t="n"/>
      <c r="O387" s="6" t="n"/>
      <c r="T387" s="6" t="n"/>
      <c r="Z387" s="6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8" t="n"/>
    </row>
    <row r="388" ht="12.75" customHeight="1" s="517">
      <c r="E388" s="41" t="n"/>
      <c r="N388" s="8" t="n"/>
      <c r="O388" s="6" t="n"/>
      <c r="T388" s="6" t="n"/>
      <c r="Z388" s="6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8" t="n"/>
    </row>
    <row r="389" ht="12.75" customHeight="1" s="517">
      <c r="E389" s="41" t="n"/>
      <c r="N389" s="8" t="n"/>
      <c r="O389" s="6" t="n"/>
      <c r="T389" s="6" t="n"/>
      <c r="Z389" s="6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8" t="n"/>
    </row>
    <row r="390" ht="12.75" customHeight="1" s="517">
      <c r="E390" s="41" t="n"/>
      <c r="N390" s="8" t="n"/>
      <c r="O390" s="6" t="n"/>
      <c r="T390" s="6" t="n"/>
      <c r="Z390" s="6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8" t="n"/>
    </row>
    <row r="391" ht="12.75" customHeight="1" s="517">
      <c r="E391" s="41" t="n"/>
      <c r="N391" s="8" t="n"/>
      <c r="O391" s="6" t="n"/>
      <c r="T391" s="6" t="n"/>
      <c r="Z391" s="6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8" t="n"/>
    </row>
    <row r="392" ht="12.75" customHeight="1" s="517">
      <c r="E392" s="41" t="n"/>
      <c r="N392" s="8" t="n"/>
      <c r="O392" s="6" t="n"/>
      <c r="T392" s="6" t="n"/>
      <c r="Z392" s="6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8" t="n"/>
    </row>
    <row r="393" ht="12.75" customHeight="1" s="517">
      <c r="E393" s="41" t="n"/>
      <c r="N393" s="8" t="n"/>
      <c r="O393" s="6" t="n"/>
      <c r="T393" s="6" t="n"/>
      <c r="Z393" s="6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8" t="n"/>
    </row>
    <row r="394" ht="12.75" customHeight="1" s="517">
      <c r="E394" s="41" t="n"/>
      <c r="N394" s="8" t="n"/>
      <c r="O394" s="6" t="n"/>
      <c r="T394" s="6" t="n"/>
      <c r="Z394" s="6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8" t="n"/>
    </row>
    <row r="395" ht="12.75" customHeight="1" s="517">
      <c r="E395" s="41" t="n"/>
      <c r="N395" s="8" t="n"/>
      <c r="O395" s="6" t="n"/>
      <c r="T395" s="6" t="n"/>
      <c r="Z395" s="6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8" t="n"/>
    </row>
    <row r="396" ht="12.75" customHeight="1" s="517">
      <c r="E396" s="41" t="n"/>
      <c r="N396" s="8" t="n"/>
      <c r="O396" s="6" t="n"/>
      <c r="T396" s="6" t="n"/>
      <c r="Z396" s="6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8" t="n"/>
    </row>
    <row r="397" ht="12.75" customHeight="1" s="517">
      <c r="E397" s="41" t="n"/>
      <c r="N397" s="8" t="n"/>
      <c r="O397" s="6" t="n"/>
      <c r="T397" s="6" t="n"/>
      <c r="Z397" s="6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8" t="n"/>
    </row>
    <row r="398" ht="12.75" customHeight="1" s="517">
      <c r="E398" s="41" t="n"/>
      <c r="N398" s="8" t="n"/>
      <c r="O398" s="6" t="n"/>
      <c r="T398" s="6" t="n"/>
      <c r="Z398" s="6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8" t="n"/>
    </row>
    <row r="399" ht="12.75" customHeight="1" s="517">
      <c r="E399" s="41" t="n"/>
      <c r="N399" s="8" t="n"/>
      <c r="O399" s="6" t="n"/>
      <c r="T399" s="6" t="n"/>
      <c r="Z399" s="6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8" t="n"/>
    </row>
    <row r="400" ht="12.75" customHeight="1" s="517">
      <c r="E400" s="41" t="n"/>
      <c r="N400" s="8" t="n"/>
      <c r="O400" s="6" t="n"/>
      <c r="T400" s="6" t="n"/>
      <c r="Z400" s="6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8" t="n"/>
    </row>
    <row r="401" ht="12.75" customHeight="1" s="517">
      <c r="E401" s="41" t="n"/>
      <c r="N401" s="8" t="n"/>
      <c r="O401" s="6" t="n"/>
      <c r="T401" s="6" t="n"/>
      <c r="Z401" s="6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8" t="n"/>
    </row>
    <row r="402" ht="12.75" customHeight="1" s="517">
      <c r="E402" s="41" t="n"/>
      <c r="N402" s="8" t="n"/>
      <c r="O402" s="6" t="n"/>
      <c r="T402" s="6" t="n"/>
      <c r="Z402" s="6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8" t="n"/>
    </row>
    <row r="403" ht="12.75" customHeight="1" s="517">
      <c r="E403" s="41" t="n"/>
      <c r="N403" s="8" t="n"/>
      <c r="O403" s="6" t="n"/>
      <c r="T403" s="6" t="n"/>
      <c r="Z403" s="6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8" t="n"/>
    </row>
    <row r="404" ht="12.75" customHeight="1" s="517">
      <c r="E404" s="41" t="n"/>
      <c r="N404" s="8" t="n"/>
      <c r="O404" s="6" t="n"/>
      <c r="T404" s="6" t="n"/>
      <c r="Z404" s="6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8" t="n"/>
    </row>
    <row r="405" ht="12.75" customHeight="1" s="517">
      <c r="E405" s="41" t="n"/>
      <c r="N405" s="8" t="n"/>
      <c r="O405" s="6" t="n"/>
      <c r="T405" s="6" t="n"/>
      <c r="Z405" s="6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8" t="n"/>
    </row>
    <row r="406" ht="12.75" customHeight="1" s="517">
      <c r="E406" s="41" t="n"/>
      <c r="N406" s="8" t="n"/>
      <c r="O406" s="6" t="n"/>
      <c r="T406" s="6" t="n"/>
      <c r="Z406" s="6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8" t="n"/>
    </row>
    <row r="407" ht="12.75" customHeight="1" s="517">
      <c r="E407" s="41" t="n"/>
      <c r="N407" s="8" t="n"/>
      <c r="O407" s="6" t="n"/>
      <c r="T407" s="6" t="n"/>
      <c r="Z407" s="6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8" t="n"/>
    </row>
    <row r="408" ht="12.75" customHeight="1" s="517">
      <c r="E408" s="41" t="n"/>
      <c r="N408" s="8" t="n"/>
      <c r="O408" s="6" t="n"/>
      <c r="T408" s="6" t="n"/>
      <c r="Z408" s="6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8" t="n"/>
    </row>
    <row r="409" ht="12.75" customHeight="1" s="517">
      <c r="E409" s="41" t="n"/>
      <c r="N409" s="8" t="n"/>
      <c r="O409" s="6" t="n"/>
      <c r="T409" s="6" t="n"/>
      <c r="Z409" s="6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8" t="n"/>
    </row>
    <row r="410" ht="12.75" customHeight="1" s="517">
      <c r="E410" s="41" t="n"/>
      <c r="N410" s="8" t="n"/>
      <c r="O410" s="6" t="n"/>
      <c r="T410" s="6" t="n"/>
      <c r="Z410" s="6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8" t="n"/>
    </row>
    <row r="411" ht="12.75" customHeight="1" s="517">
      <c r="E411" s="41" t="n"/>
      <c r="N411" s="8" t="n"/>
      <c r="O411" s="6" t="n"/>
      <c r="T411" s="6" t="n"/>
      <c r="Z411" s="6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8" t="n"/>
    </row>
    <row r="412" ht="12.75" customHeight="1" s="517">
      <c r="E412" s="41" t="n"/>
      <c r="N412" s="8" t="n"/>
      <c r="O412" s="6" t="n"/>
      <c r="T412" s="6" t="n"/>
      <c r="Z412" s="6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8" t="n"/>
    </row>
    <row r="413" ht="12.75" customHeight="1" s="517">
      <c r="E413" s="41" t="n"/>
      <c r="N413" s="8" t="n"/>
      <c r="O413" s="6" t="n"/>
      <c r="T413" s="6" t="n"/>
      <c r="Z413" s="6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8" t="n"/>
    </row>
    <row r="414" ht="12.75" customHeight="1" s="517">
      <c r="E414" s="41" t="n"/>
      <c r="N414" s="8" t="n"/>
      <c r="O414" s="6" t="n"/>
      <c r="T414" s="6" t="n"/>
      <c r="Z414" s="6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8" t="n"/>
    </row>
    <row r="415" ht="12.75" customHeight="1" s="517">
      <c r="E415" s="41" t="n"/>
      <c r="N415" s="8" t="n"/>
      <c r="O415" s="6" t="n"/>
      <c r="T415" s="6" t="n"/>
      <c r="Z415" s="6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8" t="n"/>
    </row>
    <row r="416" ht="12.75" customHeight="1" s="517">
      <c r="E416" s="41" t="n"/>
      <c r="N416" s="8" t="n"/>
      <c r="O416" s="6" t="n"/>
      <c r="T416" s="6" t="n"/>
      <c r="Z416" s="6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8" t="n"/>
    </row>
    <row r="417" ht="12.75" customHeight="1" s="517">
      <c r="E417" s="41" t="n"/>
      <c r="N417" s="8" t="n"/>
      <c r="O417" s="6" t="n"/>
      <c r="T417" s="6" t="n"/>
      <c r="Z417" s="6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8" t="n"/>
    </row>
    <row r="418" ht="12.75" customHeight="1" s="517">
      <c r="E418" s="41" t="n"/>
      <c r="N418" s="8" t="n"/>
      <c r="O418" s="6" t="n"/>
      <c r="T418" s="6" t="n"/>
      <c r="Z418" s="6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8" t="n"/>
    </row>
    <row r="419" ht="12.75" customHeight="1" s="517">
      <c r="E419" s="41" t="n"/>
      <c r="N419" s="8" t="n"/>
      <c r="O419" s="6" t="n"/>
      <c r="T419" s="6" t="n"/>
      <c r="Z419" s="6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8" t="n"/>
    </row>
    <row r="420" ht="12.75" customHeight="1" s="517">
      <c r="E420" s="41" t="n"/>
      <c r="N420" s="8" t="n"/>
      <c r="O420" s="6" t="n"/>
      <c r="T420" s="6" t="n"/>
      <c r="Z420" s="6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8" t="n"/>
    </row>
    <row r="421" ht="12.75" customHeight="1" s="517">
      <c r="E421" s="41" t="n"/>
      <c r="N421" s="8" t="n"/>
      <c r="O421" s="6" t="n"/>
      <c r="T421" s="6" t="n"/>
      <c r="Z421" s="6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8" t="n"/>
    </row>
    <row r="422" ht="12.75" customHeight="1" s="517">
      <c r="E422" s="41" t="n"/>
      <c r="N422" s="8" t="n"/>
      <c r="O422" s="6" t="n"/>
      <c r="T422" s="6" t="n"/>
      <c r="Z422" s="6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8" t="n"/>
    </row>
    <row r="423" ht="12.75" customHeight="1" s="517">
      <c r="E423" s="41" t="n"/>
      <c r="N423" s="8" t="n"/>
      <c r="O423" s="6" t="n"/>
      <c r="T423" s="6" t="n"/>
      <c r="Z423" s="6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8" t="n"/>
    </row>
    <row r="424" ht="12.75" customHeight="1" s="517">
      <c r="E424" s="41" t="n"/>
      <c r="N424" s="8" t="n"/>
      <c r="O424" s="6" t="n"/>
      <c r="T424" s="6" t="n"/>
      <c r="Z424" s="6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8" t="n"/>
    </row>
    <row r="425" ht="12.75" customHeight="1" s="517">
      <c r="E425" s="41" t="n"/>
      <c r="N425" s="8" t="n"/>
      <c r="O425" s="6" t="n"/>
      <c r="T425" s="6" t="n"/>
      <c r="Z425" s="6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8" t="n"/>
    </row>
    <row r="426" ht="12.75" customHeight="1" s="517">
      <c r="E426" s="41" t="n"/>
      <c r="N426" s="8" t="n"/>
      <c r="O426" s="6" t="n"/>
      <c r="T426" s="6" t="n"/>
      <c r="Z426" s="6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8" t="n"/>
    </row>
    <row r="427" ht="12.75" customHeight="1" s="517">
      <c r="E427" s="41" t="n"/>
      <c r="N427" s="8" t="n"/>
      <c r="O427" s="6" t="n"/>
      <c r="T427" s="6" t="n"/>
      <c r="Z427" s="6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8" t="n"/>
    </row>
    <row r="428" ht="12.75" customHeight="1" s="517">
      <c r="E428" s="41" t="n"/>
      <c r="N428" s="8" t="n"/>
      <c r="O428" s="6" t="n"/>
      <c r="T428" s="6" t="n"/>
      <c r="Z428" s="6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8" t="n"/>
    </row>
    <row r="429" ht="12.75" customHeight="1" s="517">
      <c r="E429" s="41" t="n"/>
      <c r="N429" s="8" t="n"/>
      <c r="O429" s="6" t="n"/>
      <c r="T429" s="6" t="n"/>
      <c r="Z429" s="6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8" t="n"/>
    </row>
    <row r="430" ht="12.75" customHeight="1" s="517">
      <c r="E430" s="41" t="n"/>
      <c r="N430" s="8" t="n"/>
      <c r="O430" s="6" t="n"/>
      <c r="T430" s="6" t="n"/>
      <c r="Z430" s="6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8" t="n"/>
    </row>
    <row r="431" ht="12.75" customHeight="1" s="517">
      <c r="E431" s="41" t="n"/>
      <c r="N431" s="8" t="n"/>
      <c r="O431" s="6" t="n"/>
      <c r="T431" s="6" t="n"/>
      <c r="Z431" s="6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8" t="n"/>
    </row>
    <row r="432" ht="12.75" customHeight="1" s="517">
      <c r="E432" s="41" t="n"/>
      <c r="N432" s="8" t="n"/>
      <c r="O432" s="6" t="n"/>
      <c r="T432" s="6" t="n"/>
      <c r="Z432" s="6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8" t="n"/>
    </row>
    <row r="433" ht="12.75" customHeight="1" s="517">
      <c r="E433" s="41" t="n"/>
      <c r="N433" s="8" t="n"/>
      <c r="O433" s="6" t="n"/>
      <c r="T433" s="6" t="n"/>
      <c r="Z433" s="6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8" t="n"/>
    </row>
    <row r="434" ht="12.75" customHeight="1" s="517">
      <c r="E434" s="41" t="n"/>
      <c r="N434" s="8" t="n"/>
      <c r="O434" s="6" t="n"/>
      <c r="T434" s="6" t="n"/>
      <c r="Z434" s="6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8" t="n"/>
    </row>
    <row r="435" ht="12.75" customHeight="1" s="517">
      <c r="E435" s="41" t="n"/>
      <c r="N435" s="8" t="n"/>
      <c r="O435" s="6" t="n"/>
      <c r="T435" s="6" t="n"/>
      <c r="Z435" s="6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8" t="n"/>
    </row>
    <row r="436" ht="12.75" customHeight="1" s="517">
      <c r="E436" s="41" t="n"/>
      <c r="N436" s="8" t="n"/>
      <c r="O436" s="6" t="n"/>
      <c r="T436" s="6" t="n"/>
      <c r="Z436" s="6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8" t="n"/>
    </row>
    <row r="437" ht="12.75" customHeight="1" s="517">
      <c r="E437" s="41" t="n"/>
      <c r="N437" s="8" t="n"/>
      <c r="O437" s="6" t="n"/>
      <c r="T437" s="6" t="n"/>
      <c r="Z437" s="6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8" t="n"/>
    </row>
    <row r="438" ht="12.75" customHeight="1" s="517">
      <c r="E438" s="41" t="n"/>
      <c r="N438" s="8" t="n"/>
      <c r="O438" s="6" t="n"/>
      <c r="T438" s="6" t="n"/>
      <c r="Z438" s="6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8" t="n"/>
    </row>
    <row r="439" ht="12.75" customHeight="1" s="517">
      <c r="E439" s="41" t="n"/>
      <c r="N439" s="8" t="n"/>
      <c r="O439" s="6" t="n"/>
      <c r="T439" s="6" t="n"/>
      <c r="Z439" s="6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8" t="n"/>
    </row>
    <row r="440" ht="12.75" customHeight="1" s="517">
      <c r="E440" s="41" t="n"/>
      <c r="N440" s="8" t="n"/>
      <c r="O440" s="6" t="n"/>
      <c r="T440" s="6" t="n"/>
      <c r="Z440" s="6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8" t="n"/>
    </row>
    <row r="441" ht="12.75" customHeight="1" s="517">
      <c r="E441" s="41" t="n"/>
      <c r="N441" s="8" t="n"/>
      <c r="O441" s="6" t="n"/>
      <c r="T441" s="6" t="n"/>
      <c r="Z441" s="6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8" t="n"/>
    </row>
    <row r="442" ht="12.75" customHeight="1" s="517">
      <c r="E442" s="41" t="n"/>
      <c r="N442" s="8" t="n"/>
      <c r="O442" s="6" t="n"/>
      <c r="T442" s="6" t="n"/>
      <c r="Z442" s="6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8" t="n"/>
    </row>
    <row r="443" ht="12.75" customHeight="1" s="517">
      <c r="E443" s="41" t="n"/>
      <c r="N443" s="8" t="n"/>
      <c r="O443" s="6" t="n"/>
      <c r="T443" s="6" t="n"/>
      <c r="Z443" s="6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8" t="n"/>
    </row>
    <row r="444" ht="12.75" customHeight="1" s="517">
      <c r="E444" s="41" t="n"/>
      <c r="N444" s="8" t="n"/>
      <c r="O444" s="6" t="n"/>
      <c r="T444" s="6" t="n"/>
      <c r="Z444" s="6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8" t="n"/>
    </row>
    <row r="445" ht="12.75" customHeight="1" s="517">
      <c r="E445" s="41" t="n"/>
      <c r="N445" s="8" t="n"/>
      <c r="O445" s="6" t="n"/>
      <c r="T445" s="6" t="n"/>
      <c r="Z445" s="6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8" t="n"/>
    </row>
    <row r="446" ht="12.75" customHeight="1" s="517">
      <c r="E446" s="41" t="n"/>
      <c r="N446" s="8" t="n"/>
      <c r="O446" s="6" t="n"/>
      <c r="T446" s="6" t="n"/>
      <c r="Z446" s="6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8" t="n"/>
    </row>
    <row r="447" ht="12.75" customHeight="1" s="517">
      <c r="E447" s="41" t="n"/>
      <c r="N447" s="8" t="n"/>
      <c r="O447" s="6" t="n"/>
      <c r="T447" s="6" t="n"/>
      <c r="Z447" s="6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8" t="n"/>
    </row>
    <row r="448" ht="12.75" customHeight="1" s="517">
      <c r="E448" s="41" t="n"/>
      <c r="N448" s="8" t="n"/>
      <c r="O448" s="6" t="n"/>
      <c r="T448" s="6" t="n"/>
      <c r="Z448" s="6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8" t="n"/>
    </row>
    <row r="449" ht="12.75" customHeight="1" s="517">
      <c r="E449" s="41" t="n"/>
      <c r="N449" s="8" t="n"/>
      <c r="O449" s="6" t="n"/>
      <c r="T449" s="6" t="n"/>
      <c r="Z449" s="6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8" t="n"/>
    </row>
    <row r="450" ht="12.75" customHeight="1" s="517">
      <c r="E450" s="41" t="n"/>
      <c r="N450" s="8" t="n"/>
      <c r="O450" s="6" t="n"/>
      <c r="T450" s="6" t="n"/>
      <c r="Z450" s="6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8" t="n"/>
    </row>
    <row r="451" ht="12.75" customHeight="1" s="517">
      <c r="E451" s="41" t="n"/>
      <c r="N451" s="8" t="n"/>
      <c r="O451" s="6" t="n"/>
      <c r="T451" s="6" t="n"/>
      <c r="Z451" s="6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8" t="n"/>
    </row>
    <row r="452" ht="12.75" customHeight="1" s="517">
      <c r="E452" s="41" t="n"/>
      <c r="N452" s="8" t="n"/>
      <c r="O452" s="6" t="n"/>
      <c r="T452" s="6" t="n"/>
      <c r="Z452" s="6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8" t="n"/>
    </row>
    <row r="453" ht="12.75" customHeight="1" s="517">
      <c r="E453" s="41" t="n"/>
      <c r="N453" s="8" t="n"/>
      <c r="O453" s="6" t="n"/>
      <c r="T453" s="6" t="n"/>
      <c r="Z453" s="6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8" t="n"/>
    </row>
    <row r="454" ht="12.75" customHeight="1" s="517">
      <c r="E454" s="41" t="n"/>
      <c r="N454" s="8" t="n"/>
      <c r="O454" s="6" t="n"/>
      <c r="T454" s="6" t="n"/>
      <c r="Z454" s="6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8" t="n"/>
    </row>
    <row r="455" ht="12.75" customHeight="1" s="517">
      <c r="E455" s="41" t="n"/>
      <c r="N455" s="8" t="n"/>
      <c r="O455" s="6" t="n"/>
      <c r="T455" s="6" t="n"/>
      <c r="Z455" s="6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8" t="n"/>
    </row>
    <row r="456" ht="12.75" customHeight="1" s="517">
      <c r="E456" s="41" t="n"/>
      <c r="N456" s="8" t="n"/>
      <c r="O456" s="6" t="n"/>
      <c r="T456" s="6" t="n"/>
      <c r="Z456" s="6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8" t="n"/>
    </row>
    <row r="457" ht="12.75" customHeight="1" s="517">
      <c r="E457" s="41" t="n"/>
      <c r="N457" s="8" t="n"/>
      <c r="O457" s="6" t="n"/>
      <c r="T457" s="6" t="n"/>
      <c r="Z457" s="6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8" t="n"/>
    </row>
    <row r="458" ht="12.75" customHeight="1" s="517">
      <c r="E458" s="41" t="n"/>
      <c r="N458" s="8" t="n"/>
      <c r="O458" s="6" t="n"/>
      <c r="T458" s="6" t="n"/>
      <c r="Z458" s="6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8" t="n"/>
    </row>
    <row r="459" ht="12.75" customHeight="1" s="517">
      <c r="E459" s="41" t="n"/>
      <c r="N459" s="8" t="n"/>
      <c r="O459" s="6" t="n"/>
      <c r="T459" s="6" t="n"/>
      <c r="Z459" s="6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8" t="n"/>
    </row>
    <row r="460" ht="12.75" customHeight="1" s="517">
      <c r="E460" s="41" t="n"/>
      <c r="N460" s="8" t="n"/>
      <c r="O460" s="6" t="n"/>
      <c r="T460" s="6" t="n"/>
      <c r="Z460" s="6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8" t="n"/>
    </row>
    <row r="461" ht="12.75" customHeight="1" s="517">
      <c r="E461" s="41" t="n"/>
      <c r="N461" s="8" t="n"/>
      <c r="O461" s="6" t="n"/>
      <c r="T461" s="6" t="n"/>
      <c r="Z461" s="6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8" t="n"/>
    </row>
    <row r="462" ht="12.75" customHeight="1" s="517">
      <c r="E462" s="41" t="n"/>
      <c r="N462" s="8" t="n"/>
      <c r="O462" s="6" t="n"/>
      <c r="T462" s="6" t="n"/>
      <c r="Z462" s="6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8" t="n"/>
    </row>
    <row r="463" ht="12.75" customHeight="1" s="517">
      <c r="E463" s="41" t="n"/>
      <c r="N463" s="8" t="n"/>
      <c r="O463" s="6" t="n"/>
      <c r="T463" s="6" t="n"/>
      <c r="Z463" s="6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8" t="n"/>
    </row>
    <row r="464" ht="12.75" customHeight="1" s="517">
      <c r="E464" s="41" t="n"/>
      <c r="N464" s="8" t="n"/>
      <c r="O464" s="6" t="n"/>
      <c r="T464" s="6" t="n"/>
      <c r="Z464" s="6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8" t="n"/>
    </row>
    <row r="465" ht="12.75" customHeight="1" s="517">
      <c r="E465" s="41" t="n"/>
      <c r="N465" s="8" t="n"/>
      <c r="O465" s="6" t="n"/>
      <c r="T465" s="6" t="n"/>
      <c r="Z465" s="6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8" t="n"/>
    </row>
    <row r="466" ht="12.75" customHeight="1" s="517">
      <c r="E466" s="41" t="n"/>
      <c r="N466" s="8" t="n"/>
      <c r="O466" s="6" t="n"/>
      <c r="T466" s="6" t="n"/>
      <c r="Z466" s="6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8" t="n"/>
    </row>
    <row r="467" ht="12.75" customHeight="1" s="517">
      <c r="E467" s="41" t="n"/>
      <c r="N467" s="8" t="n"/>
      <c r="O467" s="6" t="n"/>
      <c r="T467" s="6" t="n"/>
      <c r="Z467" s="6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8" t="n"/>
    </row>
    <row r="468" ht="12.75" customHeight="1" s="517">
      <c r="E468" s="41" t="n"/>
      <c r="N468" s="8" t="n"/>
      <c r="O468" s="6" t="n"/>
      <c r="T468" s="6" t="n"/>
      <c r="Z468" s="6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8" t="n"/>
    </row>
    <row r="469" ht="12.75" customHeight="1" s="517">
      <c r="E469" s="41" t="n"/>
      <c r="N469" s="8" t="n"/>
      <c r="O469" s="6" t="n"/>
      <c r="T469" s="6" t="n"/>
      <c r="Z469" s="6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8" t="n"/>
    </row>
    <row r="470" ht="12.75" customHeight="1" s="517">
      <c r="E470" s="41" t="n"/>
      <c r="N470" s="8" t="n"/>
      <c r="O470" s="6" t="n"/>
      <c r="T470" s="6" t="n"/>
      <c r="Z470" s="6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8" t="n"/>
    </row>
    <row r="471" ht="12.75" customHeight="1" s="517">
      <c r="E471" s="41" t="n"/>
      <c r="N471" s="8" t="n"/>
      <c r="O471" s="6" t="n"/>
      <c r="T471" s="6" t="n"/>
      <c r="Z471" s="6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8" t="n"/>
    </row>
    <row r="472" ht="12.75" customHeight="1" s="517">
      <c r="E472" s="41" t="n"/>
      <c r="N472" s="8" t="n"/>
      <c r="O472" s="6" t="n"/>
      <c r="T472" s="6" t="n"/>
      <c r="Z472" s="6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8" t="n"/>
    </row>
    <row r="473" ht="12.75" customHeight="1" s="517">
      <c r="E473" s="41" t="n"/>
      <c r="N473" s="8" t="n"/>
      <c r="O473" s="6" t="n"/>
      <c r="T473" s="6" t="n"/>
      <c r="Z473" s="6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8" t="n"/>
    </row>
    <row r="474" ht="12.75" customHeight="1" s="517">
      <c r="E474" s="41" t="n"/>
      <c r="N474" s="8" t="n"/>
      <c r="O474" s="6" t="n"/>
      <c r="T474" s="6" t="n"/>
      <c r="Z474" s="6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8" t="n"/>
    </row>
    <row r="475" ht="12.75" customHeight="1" s="517">
      <c r="E475" s="41" t="n"/>
      <c r="N475" s="8" t="n"/>
      <c r="O475" s="6" t="n"/>
      <c r="T475" s="6" t="n"/>
      <c r="Z475" s="6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8" t="n"/>
    </row>
    <row r="476" ht="12.75" customHeight="1" s="517">
      <c r="E476" s="41" t="n"/>
      <c r="N476" s="8" t="n"/>
      <c r="O476" s="6" t="n"/>
      <c r="T476" s="6" t="n"/>
      <c r="Z476" s="6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8" t="n"/>
    </row>
    <row r="477" ht="12.75" customHeight="1" s="517">
      <c r="E477" s="41" t="n"/>
      <c r="N477" s="8" t="n"/>
      <c r="O477" s="6" t="n"/>
      <c r="T477" s="6" t="n"/>
      <c r="Z477" s="6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8" t="n"/>
    </row>
    <row r="478" ht="12.75" customHeight="1" s="517">
      <c r="E478" s="41" t="n"/>
      <c r="N478" s="8" t="n"/>
      <c r="O478" s="6" t="n"/>
      <c r="T478" s="6" t="n"/>
      <c r="Z478" s="6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8" t="n"/>
    </row>
    <row r="479" ht="12.75" customHeight="1" s="517">
      <c r="E479" s="41" t="n"/>
      <c r="N479" s="8" t="n"/>
      <c r="O479" s="6" t="n"/>
      <c r="T479" s="6" t="n"/>
      <c r="Z479" s="6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8" t="n"/>
    </row>
    <row r="480" ht="12.75" customHeight="1" s="517">
      <c r="E480" s="41" t="n"/>
      <c r="N480" s="8" t="n"/>
      <c r="O480" s="6" t="n"/>
      <c r="T480" s="6" t="n"/>
      <c r="Z480" s="6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8" t="n"/>
    </row>
    <row r="481" ht="12.75" customHeight="1" s="517">
      <c r="E481" s="41" t="n"/>
      <c r="N481" s="8" t="n"/>
      <c r="O481" s="6" t="n"/>
      <c r="T481" s="6" t="n"/>
      <c r="Z481" s="6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8" t="n"/>
    </row>
    <row r="482" ht="12.75" customHeight="1" s="517">
      <c r="E482" s="41" t="n"/>
      <c r="N482" s="8" t="n"/>
      <c r="O482" s="6" t="n"/>
      <c r="T482" s="6" t="n"/>
      <c r="Z482" s="6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8" t="n"/>
    </row>
    <row r="483" ht="12.75" customHeight="1" s="517">
      <c r="E483" s="41" t="n"/>
      <c r="N483" s="8" t="n"/>
      <c r="O483" s="6" t="n"/>
      <c r="T483" s="6" t="n"/>
      <c r="Z483" s="6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8" t="n"/>
    </row>
    <row r="484" ht="12.75" customHeight="1" s="517">
      <c r="E484" s="41" t="n"/>
      <c r="N484" s="8" t="n"/>
      <c r="O484" s="6" t="n"/>
      <c r="T484" s="6" t="n"/>
      <c r="Z484" s="6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8" t="n"/>
    </row>
    <row r="485" ht="12.75" customHeight="1" s="517">
      <c r="E485" s="41" t="n"/>
      <c r="N485" s="8" t="n"/>
      <c r="O485" s="6" t="n"/>
      <c r="T485" s="6" t="n"/>
      <c r="Z485" s="6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8" t="n"/>
    </row>
    <row r="486" ht="12.75" customHeight="1" s="517">
      <c r="E486" s="41" t="n"/>
      <c r="N486" s="8" t="n"/>
      <c r="O486" s="6" t="n"/>
      <c r="T486" s="6" t="n"/>
      <c r="Z486" s="6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8" t="n"/>
    </row>
    <row r="487" ht="12.75" customHeight="1" s="517">
      <c r="E487" s="41" t="n"/>
      <c r="N487" s="8" t="n"/>
      <c r="O487" s="6" t="n"/>
      <c r="T487" s="6" t="n"/>
      <c r="Z487" s="6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8" t="n"/>
    </row>
    <row r="488" ht="12.75" customHeight="1" s="517">
      <c r="E488" s="41" t="n"/>
      <c r="N488" s="8" t="n"/>
      <c r="O488" s="6" t="n"/>
      <c r="T488" s="6" t="n"/>
      <c r="Z488" s="6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8" t="n"/>
    </row>
    <row r="489" ht="12.75" customHeight="1" s="517">
      <c r="E489" s="41" t="n"/>
      <c r="N489" s="8" t="n"/>
      <c r="O489" s="6" t="n"/>
      <c r="T489" s="6" t="n"/>
      <c r="Z489" s="6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8" t="n"/>
    </row>
    <row r="490" ht="12.75" customHeight="1" s="517">
      <c r="E490" s="41" t="n"/>
      <c r="N490" s="8" t="n"/>
      <c r="O490" s="6" t="n"/>
      <c r="T490" s="6" t="n"/>
      <c r="Z490" s="6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8" t="n"/>
    </row>
    <row r="491" ht="12.75" customHeight="1" s="517">
      <c r="E491" s="41" t="n"/>
      <c r="N491" s="8" t="n"/>
      <c r="O491" s="6" t="n"/>
      <c r="T491" s="6" t="n"/>
      <c r="Z491" s="6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8" t="n"/>
    </row>
    <row r="492" ht="12.75" customHeight="1" s="517">
      <c r="E492" s="41" t="n"/>
      <c r="N492" s="8" t="n"/>
      <c r="O492" s="6" t="n"/>
      <c r="T492" s="6" t="n"/>
      <c r="Z492" s="6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8" t="n"/>
    </row>
    <row r="493" ht="12.75" customHeight="1" s="517">
      <c r="E493" s="41" t="n"/>
      <c r="N493" s="8" t="n"/>
      <c r="O493" s="6" t="n"/>
      <c r="T493" s="6" t="n"/>
      <c r="Z493" s="6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8" t="n"/>
    </row>
    <row r="494" ht="12.75" customHeight="1" s="517">
      <c r="E494" s="41" t="n"/>
      <c r="N494" s="8" t="n"/>
      <c r="O494" s="6" t="n"/>
      <c r="T494" s="6" t="n"/>
      <c r="Z494" s="6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8" t="n"/>
    </row>
    <row r="495" ht="12.75" customHeight="1" s="517">
      <c r="E495" s="41" t="n"/>
      <c r="N495" s="8" t="n"/>
      <c r="O495" s="6" t="n"/>
      <c r="T495" s="6" t="n"/>
      <c r="Z495" s="6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8" t="n"/>
    </row>
    <row r="496" ht="12.75" customHeight="1" s="517">
      <c r="E496" s="41" t="n"/>
      <c r="N496" s="8" t="n"/>
      <c r="O496" s="6" t="n"/>
      <c r="T496" s="6" t="n"/>
      <c r="Z496" s="6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8" t="n"/>
    </row>
    <row r="497" ht="12.75" customHeight="1" s="517">
      <c r="E497" s="41" t="n"/>
      <c r="N497" s="8" t="n"/>
      <c r="O497" s="6" t="n"/>
      <c r="T497" s="6" t="n"/>
      <c r="Z497" s="6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8" t="n"/>
    </row>
    <row r="498" ht="12.75" customHeight="1" s="517">
      <c r="E498" s="41" t="n"/>
      <c r="N498" s="8" t="n"/>
      <c r="O498" s="6" t="n"/>
      <c r="T498" s="6" t="n"/>
      <c r="Z498" s="6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8" t="n"/>
    </row>
    <row r="499" ht="12.75" customHeight="1" s="517">
      <c r="E499" s="41" t="n"/>
      <c r="N499" s="8" t="n"/>
      <c r="O499" s="6" t="n"/>
      <c r="T499" s="6" t="n"/>
      <c r="Z499" s="6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8" t="n"/>
    </row>
    <row r="500" ht="12.75" customHeight="1" s="517">
      <c r="E500" s="41" t="n"/>
      <c r="N500" s="8" t="n"/>
      <c r="O500" s="6" t="n"/>
      <c r="T500" s="6" t="n"/>
      <c r="Z500" s="6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8" t="n"/>
    </row>
    <row r="501" ht="12.75" customHeight="1" s="517">
      <c r="E501" s="41" t="n"/>
      <c r="N501" s="8" t="n"/>
      <c r="O501" s="6" t="n"/>
      <c r="T501" s="6" t="n"/>
      <c r="Z501" s="6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8" t="n"/>
    </row>
    <row r="502" ht="12.75" customHeight="1" s="517">
      <c r="E502" s="41" t="n"/>
      <c r="N502" s="8" t="n"/>
      <c r="O502" s="6" t="n"/>
      <c r="T502" s="6" t="n"/>
      <c r="Z502" s="6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8" t="n"/>
    </row>
    <row r="503" ht="12.75" customHeight="1" s="517">
      <c r="E503" s="41" t="n"/>
      <c r="N503" s="8" t="n"/>
      <c r="O503" s="6" t="n"/>
      <c r="T503" s="6" t="n"/>
      <c r="Z503" s="6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8" t="n"/>
    </row>
    <row r="504" ht="12.75" customHeight="1" s="517">
      <c r="E504" s="41" t="n"/>
      <c r="N504" s="8" t="n"/>
      <c r="O504" s="6" t="n"/>
      <c r="T504" s="6" t="n"/>
      <c r="Z504" s="6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8" t="n"/>
    </row>
    <row r="505" ht="12.75" customHeight="1" s="517">
      <c r="E505" s="41" t="n"/>
      <c r="N505" s="8" t="n"/>
      <c r="O505" s="6" t="n"/>
      <c r="T505" s="6" t="n"/>
      <c r="Z505" s="6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8" t="n"/>
    </row>
    <row r="506" ht="12.75" customHeight="1" s="517">
      <c r="E506" s="41" t="n"/>
      <c r="N506" s="8" t="n"/>
      <c r="O506" s="6" t="n"/>
      <c r="T506" s="6" t="n"/>
      <c r="Z506" s="6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8" t="n"/>
    </row>
    <row r="507" ht="12.75" customHeight="1" s="517">
      <c r="E507" s="41" t="n"/>
      <c r="N507" s="8" t="n"/>
      <c r="O507" s="6" t="n"/>
      <c r="T507" s="6" t="n"/>
      <c r="Z507" s="6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8" t="n"/>
    </row>
    <row r="508" ht="12.75" customHeight="1" s="517">
      <c r="E508" s="41" t="n"/>
      <c r="N508" s="8" t="n"/>
      <c r="O508" s="6" t="n"/>
      <c r="T508" s="6" t="n"/>
      <c r="Z508" s="6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8" t="n"/>
    </row>
    <row r="509" ht="12.75" customHeight="1" s="517">
      <c r="E509" s="41" t="n"/>
      <c r="N509" s="8" t="n"/>
      <c r="O509" s="6" t="n"/>
      <c r="T509" s="6" t="n"/>
      <c r="Z509" s="6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8" t="n"/>
    </row>
    <row r="510" ht="12.75" customHeight="1" s="517">
      <c r="E510" s="41" t="n"/>
      <c r="N510" s="8" t="n"/>
      <c r="O510" s="6" t="n"/>
      <c r="T510" s="6" t="n"/>
      <c r="Z510" s="6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8" t="n"/>
    </row>
    <row r="511" ht="12.75" customHeight="1" s="517">
      <c r="E511" s="41" t="n"/>
      <c r="N511" s="8" t="n"/>
      <c r="O511" s="6" t="n"/>
      <c r="T511" s="6" t="n"/>
      <c r="Z511" s="6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8" t="n"/>
    </row>
    <row r="512" ht="12.75" customHeight="1" s="517">
      <c r="E512" s="41" t="n"/>
      <c r="N512" s="8" t="n"/>
      <c r="O512" s="6" t="n"/>
      <c r="T512" s="6" t="n"/>
      <c r="Z512" s="6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8" t="n"/>
    </row>
    <row r="513" ht="12.75" customHeight="1" s="517">
      <c r="E513" s="41" t="n"/>
      <c r="N513" s="8" t="n"/>
      <c r="O513" s="6" t="n"/>
      <c r="T513" s="6" t="n"/>
      <c r="Z513" s="6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8" t="n"/>
    </row>
    <row r="514" ht="12.75" customHeight="1" s="517">
      <c r="E514" s="41" t="n"/>
      <c r="N514" s="8" t="n"/>
      <c r="O514" s="6" t="n"/>
      <c r="T514" s="6" t="n"/>
      <c r="Z514" s="6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8" t="n"/>
    </row>
    <row r="515" ht="12.75" customHeight="1" s="517">
      <c r="E515" s="41" t="n"/>
      <c r="N515" s="8" t="n"/>
      <c r="O515" s="6" t="n"/>
      <c r="T515" s="6" t="n"/>
      <c r="Z515" s="6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8" t="n"/>
    </row>
    <row r="516" ht="12.75" customHeight="1" s="517">
      <c r="E516" s="41" t="n"/>
      <c r="N516" s="8" t="n"/>
      <c r="O516" s="6" t="n"/>
      <c r="T516" s="6" t="n"/>
      <c r="Z516" s="6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8" t="n"/>
    </row>
    <row r="517" ht="12.75" customHeight="1" s="517">
      <c r="E517" s="41" t="n"/>
      <c r="N517" s="8" t="n"/>
      <c r="O517" s="6" t="n"/>
      <c r="T517" s="6" t="n"/>
      <c r="Z517" s="6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8" t="n"/>
    </row>
    <row r="518" ht="12.75" customHeight="1" s="517">
      <c r="E518" s="41" t="n"/>
      <c r="N518" s="8" t="n"/>
      <c r="O518" s="6" t="n"/>
      <c r="T518" s="6" t="n"/>
      <c r="Z518" s="6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8" t="n"/>
    </row>
    <row r="519" ht="12.75" customHeight="1" s="517">
      <c r="E519" s="41" t="n"/>
      <c r="N519" s="8" t="n"/>
      <c r="O519" s="6" t="n"/>
      <c r="T519" s="6" t="n"/>
      <c r="Z519" s="6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8" t="n"/>
    </row>
    <row r="520" ht="12.75" customHeight="1" s="517">
      <c r="E520" s="41" t="n"/>
      <c r="N520" s="8" t="n"/>
      <c r="O520" s="6" t="n"/>
      <c r="T520" s="6" t="n"/>
      <c r="Z520" s="6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8" t="n"/>
    </row>
    <row r="521" ht="12.75" customHeight="1" s="517">
      <c r="E521" s="41" t="n"/>
      <c r="N521" s="8" t="n"/>
      <c r="O521" s="6" t="n"/>
      <c r="T521" s="6" t="n"/>
      <c r="Z521" s="6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8" t="n"/>
    </row>
    <row r="522" ht="12.75" customHeight="1" s="517">
      <c r="E522" s="41" t="n"/>
      <c r="N522" s="8" t="n"/>
      <c r="O522" s="6" t="n"/>
      <c r="T522" s="6" t="n"/>
      <c r="Z522" s="6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8" t="n"/>
    </row>
    <row r="523" ht="12.75" customHeight="1" s="517">
      <c r="E523" s="41" t="n"/>
      <c r="N523" s="8" t="n"/>
      <c r="O523" s="6" t="n"/>
      <c r="T523" s="6" t="n"/>
      <c r="Z523" s="6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8" t="n"/>
    </row>
    <row r="524" ht="12.75" customHeight="1" s="517">
      <c r="E524" s="41" t="n"/>
      <c r="N524" s="8" t="n"/>
      <c r="O524" s="6" t="n"/>
      <c r="T524" s="6" t="n"/>
      <c r="Z524" s="6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8" t="n"/>
    </row>
    <row r="525" ht="12.75" customHeight="1" s="517">
      <c r="E525" s="41" t="n"/>
      <c r="N525" s="8" t="n"/>
      <c r="O525" s="6" t="n"/>
      <c r="T525" s="6" t="n"/>
      <c r="Z525" s="6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8" t="n"/>
    </row>
    <row r="526" ht="12.75" customHeight="1" s="517">
      <c r="E526" s="41" t="n"/>
      <c r="N526" s="8" t="n"/>
      <c r="O526" s="6" t="n"/>
      <c r="T526" s="6" t="n"/>
      <c r="Z526" s="6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8" t="n"/>
    </row>
    <row r="527" ht="12.75" customHeight="1" s="517">
      <c r="E527" s="41" t="n"/>
      <c r="N527" s="8" t="n"/>
      <c r="O527" s="6" t="n"/>
      <c r="T527" s="6" t="n"/>
      <c r="Z527" s="6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8" t="n"/>
    </row>
    <row r="528" ht="12.75" customHeight="1" s="517">
      <c r="E528" s="41" t="n"/>
      <c r="N528" s="8" t="n"/>
      <c r="O528" s="6" t="n"/>
      <c r="T528" s="6" t="n"/>
      <c r="Z528" s="6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8" t="n"/>
    </row>
    <row r="529" ht="12.75" customHeight="1" s="517">
      <c r="E529" s="41" t="n"/>
      <c r="N529" s="8" t="n"/>
      <c r="O529" s="6" t="n"/>
      <c r="T529" s="6" t="n"/>
      <c r="Z529" s="6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8" t="n"/>
    </row>
    <row r="530" ht="12.75" customHeight="1" s="517">
      <c r="E530" s="41" t="n"/>
      <c r="N530" s="8" t="n"/>
      <c r="O530" s="6" t="n"/>
      <c r="T530" s="6" t="n"/>
      <c r="Z530" s="6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8" t="n"/>
    </row>
    <row r="531" ht="12.75" customHeight="1" s="517">
      <c r="E531" s="41" t="n"/>
      <c r="N531" s="8" t="n"/>
      <c r="O531" s="6" t="n"/>
      <c r="T531" s="6" t="n"/>
      <c r="Z531" s="6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8" t="n"/>
    </row>
    <row r="532" ht="12.75" customHeight="1" s="517">
      <c r="E532" s="41" t="n"/>
      <c r="N532" s="8" t="n"/>
      <c r="O532" s="6" t="n"/>
      <c r="T532" s="6" t="n"/>
      <c r="Z532" s="6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8" t="n"/>
    </row>
    <row r="533" ht="12.75" customHeight="1" s="517">
      <c r="E533" s="41" t="n"/>
      <c r="N533" s="8" t="n"/>
      <c r="O533" s="6" t="n"/>
      <c r="T533" s="6" t="n"/>
      <c r="Z533" s="6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8" t="n"/>
    </row>
    <row r="534" ht="12.75" customHeight="1" s="517">
      <c r="E534" s="41" t="n"/>
      <c r="N534" s="8" t="n"/>
      <c r="O534" s="6" t="n"/>
      <c r="T534" s="6" t="n"/>
      <c r="Z534" s="6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8" t="n"/>
    </row>
    <row r="535" ht="12.75" customHeight="1" s="517">
      <c r="E535" s="41" t="n"/>
      <c r="N535" s="8" t="n"/>
      <c r="O535" s="6" t="n"/>
      <c r="T535" s="6" t="n"/>
      <c r="Z535" s="6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8" t="n"/>
    </row>
    <row r="536" ht="12.75" customHeight="1" s="517">
      <c r="E536" s="41" t="n"/>
      <c r="N536" s="8" t="n"/>
      <c r="O536" s="6" t="n"/>
      <c r="T536" s="6" t="n"/>
      <c r="Z536" s="6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8" t="n"/>
    </row>
    <row r="537" ht="12.75" customHeight="1" s="517">
      <c r="E537" s="41" t="n"/>
      <c r="N537" s="8" t="n"/>
      <c r="O537" s="6" t="n"/>
      <c r="T537" s="6" t="n"/>
      <c r="Z537" s="6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8" t="n"/>
    </row>
    <row r="538" ht="12.75" customHeight="1" s="517">
      <c r="E538" s="41" t="n"/>
      <c r="N538" s="8" t="n"/>
      <c r="O538" s="6" t="n"/>
      <c r="T538" s="6" t="n"/>
      <c r="Z538" s="6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8" t="n"/>
    </row>
    <row r="539" ht="12.75" customHeight="1" s="517">
      <c r="E539" s="41" t="n"/>
      <c r="N539" s="8" t="n"/>
      <c r="O539" s="6" t="n"/>
      <c r="T539" s="6" t="n"/>
      <c r="Z539" s="6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8" t="n"/>
    </row>
    <row r="540" ht="12.75" customHeight="1" s="517">
      <c r="E540" s="41" t="n"/>
      <c r="N540" s="8" t="n"/>
      <c r="O540" s="6" t="n"/>
      <c r="T540" s="6" t="n"/>
      <c r="Z540" s="6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8" t="n"/>
    </row>
    <row r="541" ht="12.75" customHeight="1" s="517">
      <c r="E541" s="41" t="n"/>
      <c r="N541" s="8" t="n"/>
      <c r="O541" s="6" t="n"/>
      <c r="T541" s="6" t="n"/>
      <c r="Z541" s="6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8" t="n"/>
    </row>
    <row r="542" ht="12.75" customHeight="1" s="517">
      <c r="E542" s="41" t="n"/>
      <c r="N542" s="8" t="n"/>
      <c r="O542" s="6" t="n"/>
      <c r="T542" s="6" t="n"/>
      <c r="Z542" s="6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8" t="n"/>
    </row>
    <row r="543" ht="12.75" customHeight="1" s="517">
      <c r="E543" s="41" t="n"/>
      <c r="N543" s="8" t="n"/>
      <c r="O543" s="6" t="n"/>
      <c r="T543" s="6" t="n"/>
      <c r="Z543" s="6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8" t="n"/>
    </row>
    <row r="544" ht="12.75" customHeight="1" s="517">
      <c r="E544" s="41" t="n"/>
      <c r="N544" s="8" t="n"/>
      <c r="O544" s="6" t="n"/>
      <c r="T544" s="6" t="n"/>
      <c r="Z544" s="6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8" t="n"/>
    </row>
    <row r="545" ht="12.75" customHeight="1" s="517">
      <c r="E545" s="41" t="n"/>
      <c r="N545" s="8" t="n"/>
      <c r="O545" s="6" t="n"/>
      <c r="T545" s="6" t="n"/>
      <c r="Z545" s="6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8" t="n"/>
    </row>
    <row r="546" ht="12.75" customHeight="1" s="517">
      <c r="E546" s="41" t="n"/>
      <c r="N546" s="8" t="n"/>
      <c r="O546" s="6" t="n"/>
      <c r="T546" s="6" t="n"/>
      <c r="Z546" s="6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8" t="n"/>
    </row>
    <row r="547" ht="12.75" customHeight="1" s="517">
      <c r="E547" s="41" t="n"/>
      <c r="N547" s="8" t="n"/>
      <c r="O547" s="6" t="n"/>
      <c r="T547" s="6" t="n"/>
      <c r="Z547" s="6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8" t="n"/>
    </row>
    <row r="548" ht="12.75" customHeight="1" s="517">
      <c r="E548" s="41" t="n"/>
      <c r="N548" s="8" t="n"/>
      <c r="O548" s="6" t="n"/>
      <c r="T548" s="6" t="n"/>
      <c r="Z548" s="6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8" t="n"/>
    </row>
    <row r="549" ht="12.75" customHeight="1" s="517">
      <c r="E549" s="41" t="n"/>
      <c r="N549" s="8" t="n"/>
      <c r="O549" s="6" t="n"/>
      <c r="T549" s="6" t="n"/>
      <c r="Z549" s="6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8" t="n"/>
    </row>
    <row r="550" ht="12.75" customHeight="1" s="517">
      <c r="E550" s="41" t="n"/>
      <c r="N550" s="8" t="n"/>
      <c r="O550" s="6" t="n"/>
      <c r="T550" s="6" t="n"/>
      <c r="Z550" s="6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8" t="n"/>
    </row>
    <row r="551" ht="12.75" customHeight="1" s="517">
      <c r="E551" s="41" t="n"/>
      <c r="N551" s="8" t="n"/>
      <c r="O551" s="6" t="n"/>
      <c r="T551" s="6" t="n"/>
      <c r="Z551" s="6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8" t="n"/>
    </row>
    <row r="552" ht="12.75" customHeight="1" s="517">
      <c r="E552" s="41" t="n"/>
      <c r="N552" s="8" t="n"/>
      <c r="O552" s="6" t="n"/>
      <c r="T552" s="6" t="n"/>
      <c r="Z552" s="6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8" t="n"/>
    </row>
    <row r="553" ht="12.75" customHeight="1" s="517">
      <c r="E553" s="41" t="n"/>
      <c r="N553" s="8" t="n"/>
      <c r="O553" s="6" t="n"/>
      <c r="T553" s="6" t="n"/>
      <c r="Z553" s="6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8" t="n"/>
    </row>
    <row r="554" ht="12.75" customHeight="1" s="517">
      <c r="E554" s="41" t="n"/>
      <c r="N554" s="8" t="n"/>
      <c r="O554" s="6" t="n"/>
      <c r="T554" s="6" t="n"/>
      <c r="Z554" s="6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8" t="n"/>
    </row>
    <row r="555" ht="12.75" customHeight="1" s="517">
      <c r="E555" s="41" t="n"/>
      <c r="N555" s="8" t="n"/>
      <c r="O555" s="6" t="n"/>
      <c r="T555" s="6" t="n"/>
      <c r="Z555" s="6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8" t="n"/>
    </row>
    <row r="556" ht="12.75" customHeight="1" s="517">
      <c r="E556" s="41" t="n"/>
      <c r="N556" s="8" t="n"/>
      <c r="O556" s="6" t="n"/>
      <c r="T556" s="6" t="n"/>
      <c r="Z556" s="6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8" t="n"/>
    </row>
    <row r="557" ht="12.75" customHeight="1" s="517">
      <c r="E557" s="41" t="n"/>
      <c r="N557" s="8" t="n"/>
      <c r="O557" s="6" t="n"/>
      <c r="T557" s="6" t="n"/>
      <c r="Z557" s="6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8" t="n"/>
    </row>
    <row r="558" ht="12.75" customHeight="1" s="517">
      <c r="E558" s="41" t="n"/>
      <c r="N558" s="8" t="n"/>
      <c r="O558" s="6" t="n"/>
      <c r="T558" s="6" t="n"/>
      <c r="Z558" s="6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8" t="n"/>
    </row>
    <row r="559" ht="12.75" customHeight="1" s="517">
      <c r="E559" s="41" t="n"/>
      <c r="N559" s="8" t="n"/>
      <c r="O559" s="6" t="n"/>
      <c r="T559" s="6" t="n"/>
      <c r="Z559" s="6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8" t="n"/>
    </row>
    <row r="560" ht="12.75" customHeight="1" s="517">
      <c r="E560" s="41" t="n"/>
      <c r="N560" s="8" t="n"/>
      <c r="O560" s="6" t="n"/>
      <c r="T560" s="6" t="n"/>
      <c r="Z560" s="6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8" t="n"/>
    </row>
    <row r="561" ht="12.75" customHeight="1" s="517">
      <c r="E561" s="41" t="n"/>
      <c r="N561" s="8" t="n"/>
      <c r="O561" s="6" t="n"/>
      <c r="T561" s="6" t="n"/>
      <c r="Z561" s="6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8" t="n"/>
    </row>
    <row r="562" ht="12.75" customHeight="1" s="517">
      <c r="E562" s="41" t="n"/>
      <c r="N562" s="8" t="n"/>
      <c r="O562" s="6" t="n"/>
      <c r="T562" s="6" t="n"/>
      <c r="Z562" s="6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8" t="n"/>
    </row>
    <row r="563" ht="12.75" customHeight="1" s="517">
      <c r="E563" s="41" t="n"/>
      <c r="N563" s="8" t="n"/>
      <c r="O563" s="6" t="n"/>
      <c r="T563" s="6" t="n"/>
      <c r="Z563" s="6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8" t="n"/>
    </row>
    <row r="564" ht="12.75" customHeight="1" s="517">
      <c r="E564" s="41" t="n"/>
      <c r="N564" s="8" t="n"/>
      <c r="O564" s="6" t="n"/>
      <c r="T564" s="6" t="n"/>
      <c r="Z564" s="6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8" t="n"/>
    </row>
    <row r="565" ht="12.75" customHeight="1" s="517">
      <c r="E565" s="41" t="n"/>
      <c r="N565" s="8" t="n"/>
      <c r="O565" s="6" t="n"/>
      <c r="T565" s="6" t="n"/>
      <c r="Z565" s="6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8" t="n"/>
    </row>
    <row r="566" ht="12.75" customHeight="1" s="517">
      <c r="E566" s="41" t="n"/>
      <c r="N566" s="8" t="n"/>
      <c r="O566" s="6" t="n"/>
      <c r="T566" s="6" t="n"/>
      <c r="Z566" s="6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8" t="n"/>
    </row>
    <row r="567" ht="12.75" customHeight="1" s="517">
      <c r="E567" s="41" t="n"/>
      <c r="N567" s="8" t="n"/>
      <c r="O567" s="6" t="n"/>
      <c r="T567" s="6" t="n"/>
      <c r="Z567" s="6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8" t="n"/>
    </row>
    <row r="568" ht="12.75" customHeight="1" s="517">
      <c r="E568" s="41" t="n"/>
      <c r="N568" s="8" t="n"/>
      <c r="O568" s="6" t="n"/>
      <c r="T568" s="6" t="n"/>
      <c r="Z568" s="6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8" t="n"/>
    </row>
    <row r="569" ht="12.75" customHeight="1" s="517">
      <c r="E569" s="41" t="n"/>
      <c r="N569" s="8" t="n"/>
      <c r="O569" s="6" t="n"/>
      <c r="T569" s="6" t="n"/>
      <c r="Z569" s="6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8" t="n"/>
    </row>
    <row r="570" ht="12.75" customHeight="1" s="517">
      <c r="E570" s="41" t="n"/>
      <c r="N570" s="8" t="n"/>
      <c r="O570" s="6" t="n"/>
      <c r="T570" s="6" t="n"/>
      <c r="Z570" s="6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8" t="n"/>
    </row>
    <row r="571" ht="12.75" customHeight="1" s="517">
      <c r="E571" s="41" t="n"/>
      <c r="N571" s="8" t="n"/>
      <c r="O571" s="6" t="n"/>
      <c r="T571" s="6" t="n"/>
      <c r="Z571" s="6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8" t="n"/>
    </row>
    <row r="572" ht="12.75" customHeight="1" s="517">
      <c r="E572" s="41" t="n"/>
      <c r="N572" s="8" t="n"/>
      <c r="O572" s="6" t="n"/>
      <c r="T572" s="6" t="n"/>
      <c r="Z572" s="6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8" t="n"/>
    </row>
    <row r="573" ht="12.75" customHeight="1" s="517">
      <c r="E573" s="41" t="n"/>
      <c r="N573" s="8" t="n"/>
      <c r="O573" s="6" t="n"/>
      <c r="T573" s="6" t="n"/>
      <c r="Z573" s="6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8" t="n"/>
    </row>
    <row r="574" ht="12.75" customHeight="1" s="517">
      <c r="E574" s="41" t="n"/>
      <c r="N574" s="8" t="n"/>
      <c r="O574" s="6" t="n"/>
      <c r="T574" s="6" t="n"/>
      <c r="Z574" s="6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8" t="n"/>
    </row>
    <row r="575" ht="12.75" customHeight="1" s="517">
      <c r="E575" s="41" t="n"/>
      <c r="N575" s="8" t="n"/>
      <c r="O575" s="6" t="n"/>
      <c r="T575" s="6" t="n"/>
      <c r="Z575" s="6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8" t="n"/>
    </row>
    <row r="576" ht="12.75" customHeight="1" s="517">
      <c r="E576" s="41" t="n"/>
      <c r="N576" s="8" t="n"/>
      <c r="O576" s="6" t="n"/>
      <c r="T576" s="6" t="n"/>
      <c r="Z576" s="6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8" t="n"/>
    </row>
    <row r="577" ht="12.75" customHeight="1" s="517">
      <c r="E577" s="41" t="n"/>
      <c r="N577" s="8" t="n"/>
      <c r="O577" s="6" t="n"/>
      <c r="T577" s="6" t="n"/>
      <c r="Z577" s="6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8" t="n"/>
    </row>
    <row r="578" ht="12.75" customHeight="1" s="517">
      <c r="E578" s="41" t="n"/>
      <c r="N578" s="8" t="n"/>
      <c r="O578" s="6" t="n"/>
      <c r="T578" s="6" t="n"/>
      <c r="Z578" s="6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8" t="n"/>
    </row>
    <row r="579" ht="12.75" customHeight="1" s="517">
      <c r="E579" s="41" t="n"/>
      <c r="N579" s="8" t="n"/>
      <c r="O579" s="6" t="n"/>
      <c r="T579" s="6" t="n"/>
      <c r="Z579" s="6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8" t="n"/>
    </row>
    <row r="580" ht="12.75" customHeight="1" s="517">
      <c r="E580" s="41" t="n"/>
      <c r="N580" s="8" t="n"/>
      <c r="O580" s="6" t="n"/>
      <c r="T580" s="6" t="n"/>
      <c r="Z580" s="6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8" t="n"/>
    </row>
    <row r="581" ht="12.75" customHeight="1" s="517">
      <c r="E581" s="41" t="n"/>
      <c r="N581" s="8" t="n"/>
      <c r="O581" s="6" t="n"/>
      <c r="T581" s="6" t="n"/>
      <c r="Z581" s="6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8" t="n"/>
    </row>
    <row r="582" ht="12.75" customHeight="1" s="517">
      <c r="E582" s="41" t="n"/>
      <c r="N582" s="8" t="n"/>
      <c r="O582" s="6" t="n"/>
      <c r="T582" s="6" t="n"/>
      <c r="Z582" s="6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8" t="n"/>
    </row>
    <row r="583" ht="12.75" customHeight="1" s="517">
      <c r="E583" s="41" t="n"/>
      <c r="N583" s="8" t="n"/>
      <c r="O583" s="6" t="n"/>
      <c r="T583" s="6" t="n"/>
      <c r="Z583" s="6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8" t="n"/>
    </row>
    <row r="584" ht="12.75" customHeight="1" s="517">
      <c r="E584" s="41" t="n"/>
      <c r="N584" s="8" t="n"/>
      <c r="O584" s="6" t="n"/>
      <c r="T584" s="6" t="n"/>
      <c r="Z584" s="6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8" t="n"/>
    </row>
    <row r="585" ht="12.75" customHeight="1" s="517">
      <c r="E585" s="41" t="n"/>
      <c r="N585" s="8" t="n"/>
      <c r="O585" s="6" t="n"/>
      <c r="T585" s="6" t="n"/>
      <c r="Z585" s="6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8" t="n"/>
    </row>
    <row r="586" ht="12.75" customHeight="1" s="517">
      <c r="E586" s="41" t="n"/>
      <c r="N586" s="8" t="n"/>
      <c r="O586" s="6" t="n"/>
      <c r="T586" s="6" t="n"/>
      <c r="Z586" s="6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8" t="n"/>
    </row>
    <row r="587" ht="12.75" customHeight="1" s="517">
      <c r="E587" s="41" t="n"/>
      <c r="N587" s="8" t="n"/>
      <c r="O587" s="6" t="n"/>
      <c r="T587" s="6" t="n"/>
      <c r="Z587" s="6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8" t="n"/>
    </row>
    <row r="588" ht="12.75" customHeight="1" s="517">
      <c r="E588" s="41" t="n"/>
      <c r="N588" s="8" t="n"/>
      <c r="O588" s="6" t="n"/>
      <c r="T588" s="6" t="n"/>
      <c r="Z588" s="6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8" t="n"/>
    </row>
    <row r="589" ht="12.75" customHeight="1" s="517">
      <c r="E589" s="41" t="n"/>
      <c r="N589" s="8" t="n"/>
      <c r="O589" s="6" t="n"/>
      <c r="T589" s="6" t="n"/>
      <c r="Z589" s="6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8" t="n"/>
    </row>
    <row r="590" ht="12.75" customHeight="1" s="517">
      <c r="E590" s="41" t="n"/>
      <c r="N590" s="8" t="n"/>
      <c r="O590" s="6" t="n"/>
      <c r="T590" s="6" t="n"/>
      <c r="Z590" s="6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8" t="n"/>
    </row>
    <row r="591" ht="12.75" customHeight="1" s="517">
      <c r="E591" s="41" t="n"/>
      <c r="N591" s="8" t="n"/>
      <c r="O591" s="6" t="n"/>
      <c r="T591" s="6" t="n"/>
      <c r="Z591" s="6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8" t="n"/>
    </row>
    <row r="592" ht="12.75" customHeight="1" s="517">
      <c r="E592" s="41" t="n"/>
      <c r="N592" s="8" t="n"/>
      <c r="O592" s="6" t="n"/>
      <c r="T592" s="6" t="n"/>
      <c r="Z592" s="6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8" t="n"/>
    </row>
    <row r="593" ht="12.75" customHeight="1" s="517">
      <c r="E593" s="41" t="n"/>
      <c r="N593" s="8" t="n"/>
      <c r="O593" s="6" t="n"/>
      <c r="T593" s="6" t="n"/>
      <c r="Z593" s="6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8" t="n"/>
    </row>
    <row r="594" ht="12.75" customHeight="1" s="517">
      <c r="E594" s="41" t="n"/>
      <c r="N594" s="8" t="n"/>
      <c r="O594" s="6" t="n"/>
      <c r="T594" s="6" t="n"/>
      <c r="Z594" s="6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8" t="n"/>
    </row>
    <row r="595" ht="12.75" customHeight="1" s="517">
      <c r="E595" s="41" t="n"/>
      <c r="N595" s="8" t="n"/>
      <c r="O595" s="6" t="n"/>
      <c r="T595" s="6" t="n"/>
      <c r="Z595" s="6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8" t="n"/>
    </row>
    <row r="596" ht="12.75" customHeight="1" s="517">
      <c r="E596" s="41" t="n"/>
      <c r="N596" s="8" t="n"/>
      <c r="O596" s="6" t="n"/>
      <c r="T596" s="6" t="n"/>
      <c r="Z596" s="6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8" t="n"/>
    </row>
    <row r="597" ht="12.75" customHeight="1" s="517">
      <c r="E597" s="41" t="n"/>
      <c r="N597" s="8" t="n"/>
      <c r="O597" s="6" t="n"/>
      <c r="T597" s="6" t="n"/>
      <c r="Z597" s="6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8" t="n"/>
    </row>
    <row r="598" ht="12.75" customHeight="1" s="517">
      <c r="E598" s="41" t="n"/>
      <c r="N598" s="8" t="n"/>
      <c r="O598" s="6" t="n"/>
      <c r="T598" s="6" t="n"/>
      <c r="Z598" s="6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8" t="n"/>
    </row>
    <row r="599" ht="12.75" customHeight="1" s="517">
      <c r="E599" s="41" t="n"/>
      <c r="N599" s="8" t="n"/>
      <c r="O599" s="6" t="n"/>
      <c r="T599" s="6" t="n"/>
      <c r="Z599" s="6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8" t="n"/>
    </row>
    <row r="600" ht="12.75" customHeight="1" s="517">
      <c r="E600" s="41" t="n"/>
      <c r="N600" s="8" t="n"/>
      <c r="O600" s="6" t="n"/>
      <c r="T600" s="6" t="n"/>
      <c r="Z600" s="6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8" t="n"/>
    </row>
    <row r="601" ht="12.75" customHeight="1" s="517">
      <c r="E601" s="41" t="n"/>
      <c r="N601" s="8" t="n"/>
      <c r="O601" s="6" t="n"/>
      <c r="T601" s="6" t="n"/>
      <c r="Z601" s="6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8" t="n"/>
    </row>
    <row r="602" ht="12.75" customHeight="1" s="517">
      <c r="E602" s="41" t="n"/>
      <c r="N602" s="8" t="n"/>
      <c r="O602" s="6" t="n"/>
      <c r="T602" s="6" t="n"/>
      <c r="Z602" s="6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8" t="n"/>
    </row>
    <row r="603" ht="12.75" customHeight="1" s="517">
      <c r="E603" s="41" t="n"/>
      <c r="N603" s="8" t="n"/>
      <c r="O603" s="6" t="n"/>
      <c r="T603" s="6" t="n"/>
      <c r="Z603" s="6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8" t="n"/>
    </row>
    <row r="604" ht="12.75" customHeight="1" s="517">
      <c r="E604" s="41" t="n"/>
      <c r="N604" s="8" t="n"/>
      <c r="O604" s="6" t="n"/>
      <c r="T604" s="6" t="n"/>
      <c r="Z604" s="6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8" t="n"/>
    </row>
    <row r="605" ht="12.75" customHeight="1" s="517">
      <c r="E605" s="41" t="n"/>
      <c r="N605" s="8" t="n"/>
      <c r="O605" s="6" t="n"/>
      <c r="T605" s="6" t="n"/>
      <c r="Z605" s="6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8" t="n"/>
    </row>
    <row r="606" ht="12.75" customHeight="1" s="517">
      <c r="E606" s="41" t="n"/>
      <c r="N606" s="8" t="n"/>
      <c r="O606" s="6" t="n"/>
      <c r="T606" s="6" t="n"/>
      <c r="Z606" s="6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8" t="n"/>
    </row>
    <row r="607" ht="12.75" customHeight="1" s="517">
      <c r="E607" s="41" t="n"/>
      <c r="N607" s="8" t="n"/>
      <c r="O607" s="6" t="n"/>
      <c r="T607" s="6" t="n"/>
      <c r="Z607" s="6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8" t="n"/>
    </row>
    <row r="608" ht="12.75" customHeight="1" s="517">
      <c r="E608" s="41" t="n"/>
      <c r="N608" s="8" t="n"/>
      <c r="O608" s="6" t="n"/>
      <c r="T608" s="6" t="n"/>
      <c r="Z608" s="6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8" t="n"/>
    </row>
    <row r="609" ht="12.75" customHeight="1" s="517">
      <c r="E609" s="41" t="n"/>
      <c r="N609" s="8" t="n"/>
      <c r="O609" s="6" t="n"/>
      <c r="T609" s="6" t="n"/>
      <c r="Z609" s="6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8" t="n"/>
    </row>
    <row r="610" ht="12.75" customHeight="1" s="517">
      <c r="E610" s="41" t="n"/>
      <c r="N610" s="8" t="n"/>
      <c r="O610" s="6" t="n"/>
      <c r="T610" s="6" t="n"/>
      <c r="Z610" s="6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8" t="n"/>
    </row>
    <row r="611" ht="12.75" customHeight="1" s="517">
      <c r="E611" s="41" t="n"/>
      <c r="N611" s="8" t="n"/>
      <c r="O611" s="6" t="n"/>
      <c r="T611" s="6" t="n"/>
      <c r="Z611" s="6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8" t="n"/>
    </row>
    <row r="612" ht="12.75" customHeight="1" s="517">
      <c r="E612" s="41" t="n"/>
      <c r="N612" s="8" t="n"/>
      <c r="O612" s="6" t="n"/>
      <c r="T612" s="6" t="n"/>
      <c r="Z612" s="6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8" t="n"/>
    </row>
    <row r="613" ht="12.75" customHeight="1" s="517">
      <c r="E613" s="41" t="n"/>
      <c r="N613" s="8" t="n"/>
      <c r="O613" s="6" t="n"/>
      <c r="T613" s="6" t="n"/>
      <c r="Z613" s="6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8" t="n"/>
    </row>
    <row r="614" ht="12.75" customHeight="1" s="517">
      <c r="E614" s="41" t="n"/>
      <c r="N614" s="8" t="n"/>
      <c r="O614" s="6" t="n"/>
      <c r="T614" s="6" t="n"/>
      <c r="Z614" s="6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8" t="n"/>
    </row>
    <row r="615" ht="12.75" customHeight="1" s="517">
      <c r="E615" s="41" t="n"/>
      <c r="N615" s="8" t="n"/>
      <c r="O615" s="6" t="n"/>
      <c r="T615" s="6" t="n"/>
      <c r="Z615" s="6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8" t="n"/>
    </row>
    <row r="616" ht="12.75" customHeight="1" s="517">
      <c r="E616" s="41" t="n"/>
      <c r="N616" s="8" t="n"/>
      <c r="O616" s="6" t="n"/>
      <c r="T616" s="6" t="n"/>
      <c r="Z616" s="6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8" t="n"/>
    </row>
    <row r="617" ht="12.75" customHeight="1" s="517">
      <c r="E617" s="41" t="n"/>
      <c r="N617" s="8" t="n"/>
      <c r="O617" s="6" t="n"/>
      <c r="T617" s="6" t="n"/>
      <c r="Z617" s="6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8" t="n"/>
    </row>
    <row r="618" ht="12.75" customHeight="1" s="517">
      <c r="E618" s="41" t="n"/>
      <c r="N618" s="8" t="n"/>
      <c r="O618" s="6" t="n"/>
      <c r="T618" s="6" t="n"/>
      <c r="Z618" s="6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8" t="n"/>
    </row>
    <row r="619" ht="12.75" customHeight="1" s="517">
      <c r="E619" s="41" t="n"/>
      <c r="N619" s="8" t="n"/>
      <c r="O619" s="6" t="n"/>
      <c r="T619" s="6" t="n"/>
      <c r="Z619" s="6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8" t="n"/>
    </row>
    <row r="620" ht="12.75" customHeight="1" s="517">
      <c r="E620" s="41" t="n"/>
      <c r="N620" s="8" t="n"/>
      <c r="O620" s="6" t="n"/>
      <c r="T620" s="6" t="n"/>
      <c r="Z620" s="6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8" t="n"/>
    </row>
    <row r="621" ht="12.75" customHeight="1" s="517">
      <c r="E621" s="41" t="n"/>
      <c r="N621" s="8" t="n"/>
      <c r="O621" s="6" t="n"/>
      <c r="T621" s="6" t="n"/>
      <c r="Z621" s="6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8" t="n"/>
    </row>
    <row r="622" ht="12.75" customHeight="1" s="517">
      <c r="E622" s="41" t="n"/>
      <c r="N622" s="8" t="n"/>
      <c r="O622" s="6" t="n"/>
      <c r="T622" s="6" t="n"/>
      <c r="Z622" s="6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8" t="n"/>
    </row>
    <row r="623" ht="12.75" customHeight="1" s="517">
      <c r="E623" s="41" t="n"/>
      <c r="N623" s="8" t="n"/>
      <c r="O623" s="6" t="n"/>
      <c r="T623" s="6" t="n"/>
      <c r="Z623" s="6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8" t="n"/>
    </row>
    <row r="624" ht="12.75" customHeight="1" s="517">
      <c r="E624" s="41" t="n"/>
      <c r="N624" s="8" t="n"/>
      <c r="O624" s="6" t="n"/>
      <c r="T624" s="6" t="n"/>
      <c r="Z624" s="6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8" t="n"/>
    </row>
    <row r="625" ht="12.75" customHeight="1" s="517">
      <c r="E625" s="41" t="n"/>
      <c r="N625" s="8" t="n"/>
      <c r="O625" s="6" t="n"/>
      <c r="T625" s="6" t="n"/>
      <c r="Z625" s="6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8" t="n"/>
    </row>
    <row r="626" ht="12.75" customHeight="1" s="517">
      <c r="E626" s="41" t="n"/>
      <c r="N626" s="8" t="n"/>
      <c r="O626" s="6" t="n"/>
      <c r="T626" s="6" t="n"/>
      <c r="Z626" s="6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8" t="n"/>
    </row>
    <row r="627" ht="12.75" customHeight="1" s="517">
      <c r="E627" s="41" t="n"/>
      <c r="N627" s="8" t="n"/>
      <c r="O627" s="6" t="n"/>
      <c r="T627" s="6" t="n"/>
      <c r="Z627" s="6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8" t="n"/>
    </row>
    <row r="628" ht="12.75" customHeight="1" s="517">
      <c r="E628" s="41" t="n"/>
      <c r="N628" s="8" t="n"/>
      <c r="O628" s="6" t="n"/>
      <c r="T628" s="6" t="n"/>
      <c r="Z628" s="6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8" t="n"/>
    </row>
    <row r="629" ht="12.75" customHeight="1" s="517">
      <c r="E629" s="41" t="n"/>
      <c r="N629" s="8" t="n"/>
      <c r="O629" s="6" t="n"/>
      <c r="T629" s="6" t="n"/>
      <c r="Z629" s="6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8" t="n"/>
    </row>
    <row r="630" ht="12.75" customHeight="1" s="517">
      <c r="E630" s="41" t="n"/>
      <c r="N630" s="8" t="n"/>
      <c r="O630" s="6" t="n"/>
      <c r="T630" s="6" t="n"/>
      <c r="Z630" s="6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8" t="n"/>
    </row>
    <row r="631" ht="12.75" customHeight="1" s="517">
      <c r="E631" s="41" t="n"/>
      <c r="N631" s="8" t="n"/>
      <c r="O631" s="6" t="n"/>
      <c r="T631" s="6" t="n"/>
      <c r="Z631" s="6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8" t="n"/>
    </row>
    <row r="632" ht="12.75" customHeight="1" s="517">
      <c r="E632" s="41" t="n"/>
      <c r="N632" s="8" t="n"/>
      <c r="O632" s="6" t="n"/>
      <c r="T632" s="6" t="n"/>
      <c r="Z632" s="6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8" t="n"/>
    </row>
    <row r="633" ht="12.75" customHeight="1" s="517">
      <c r="E633" s="41" t="n"/>
      <c r="N633" s="8" t="n"/>
      <c r="O633" s="6" t="n"/>
      <c r="T633" s="6" t="n"/>
      <c r="Z633" s="6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8" t="n"/>
    </row>
    <row r="634" ht="12.75" customHeight="1" s="517">
      <c r="E634" s="41" t="n"/>
      <c r="N634" s="8" t="n"/>
      <c r="O634" s="6" t="n"/>
      <c r="T634" s="6" t="n"/>
      <c r="Z634" s="6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8" t="n"/>
    </row>
    <row r="635" ht="12.75" customHeight="1" s="517">
      <c r="E635" s="41" t="n"/>
      <c r="N635" s="8" t="n"/>
      <c r="O635" s="6" t="n"/>
      <c r="T635" s="6" t="n"/>
      <c r="Z635" s="6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8" t="n"/>
    </row>
    <row r="636" ht="12.75" customHeight="1" s="517">
      <c r="E636" s="41" t="n"/>
      <c r="N636" s="8" t="n"/>
      <c r="O636" s="6" t="n"/>
      <c r="T636" s="6" t="n"/>
      <c r="Z636" s="6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8" t="n"/>
    </row>
    <row r="637" ht="12.75" customHeight="1" s="517">
      <c r="E637" s="41" t="n"/>
      <c r="N637" s="8" t="n"/>
      <c r="O637" s="6" t="n"/>
      <c r="T637" s="6" t="n"/>
      <c r="Z637" s="6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8" t="n"/>
    </row>
    <row r="638" ht="12.75" customHeight="1" s="517">
      <c r="E638" s="41" t="n"/>
      <c r="N638" s="8" t="n"/>
      <c r="O638" s="6" t="n"/>
      <c r="T638" s="6" t="n"/>
      <c r="Z638" s="6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8" t="n"/>
    </row>
    <row r="639" ht="12.75" customHeight="1" s="517">
      <c r="E639" s="41" t="n"/>
      <c r="N639" s="8" t="n"/>
      <c r="O639" s="6" t="n"/>
      <c r="T639" s="6" t="n"/>
      <c r="Z639" s="6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8" t="n"/>
    </row>
    <row r="640" ht="12.75" customHeight="1" s="517">
      <c r="E640" s="41" t="n"/>
      <c r="N640" s="8" t="n"/>
      <c r="O640" s="6" t="n"/>
      <c r="T640" s="6" t="n"/>
      <c r="Z640" s="6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8" t="n"/>
    </row>
    <row r="641" ht="12.75" customHeight="1" s="517">
      <c r="E641" s="41" t="n"/>
      <c r="N641" s="8" t="n"/>
      <c r="O641" s="6" t="n"/>
      <c r="T641" s="6" t="n"/>
      <c r="Z641" s="6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8" t="n"/>
    </row>
    <row r="642" ht="12.75" customHeight="1" s="517">
      <c r="E642" s="41" t="n"/>
      <c r="N642" s="8" t="n"/>
      <c r="O642" s="6" t="n"/>
      <c r="T642" s="6" t="n"/>
      <c r="Z642" s="6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8" t="n"/>
    </row>
    <row r="643" ht="12.75" customHeight="1" s="517">
      <c r="E643" s="41" t="n"/>
      <c r="N643" s="8" t="n"/>
      <c r="O643" s="6" t="n"/>
      <c r="T643" s="6" t="n"/>
      <c r="Z643" s="6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8" t="n"/>
    </row>
    <row r="644" ht="12.75" customHeight="1" s="517">
      <c r="E644" s="41" t="n"/>
      <c r="N644" s="8" t="n"/>
      <c r="O644" s="6" t="n"/>
      <c r="T644" s="6" t="n"/>
      <c r="Z644" s="6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8" t="n"/>
    </row>
    <row r="645" ht="12.75" customHeight="1" s="517">
      <c r="E645" s="41" t="n"/>
      <c r="N645" s="8" t="n"/>
      <c r="O645" s="6" t="n"/>
      <c r="T645" s="6" t="n"/>
      <c r="Z645" s="6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8" t="n"/>
    </row>
    <row r="646" ht="12.75" customHeight="1" s="517">
      <c r="E646" s="41" t="n"/>
      <c r="N646" s="8" t="n"/>
      <c r="O646" s="6" t="n"/>
      <c r="T646" s="6" t="n"/>
      <c r="Z646" s="6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8" t="n"/>
    </row>
    <row r="647" ht="12.75" customHeight="1" s="517">
      <c r="E647" s="41" t="n"/>
      <c r="N647" s="8" t="n"/>
      <c r="O647" s="6" t="n"/>
      <c r="T647" s="6" t="n"/>
      <c r="Z647" s="6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8" t="n"/>
    </row>
    <row r="648" ht="12.75" customHeight="1" s="517">
      <c r="E648" s="41" t="n"/>
      <c r="N648" s="8" t="n"/>
      <c r="O648" s="6" t="n"/>
      <c r="T648" s="6" t="n"/>
      <c r="Z648" s="6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8" t="n"/>
    </row>
    <row r="649" ht="12.75" customHeight="1" s="517">
      <c r="E649" s="41" t="n"/>
      <c r="N649" s="8" t="n"/>
      <c r="O649" s="6" t="n"/>
      <c r="T649" s="6" t="n"/>
      <c r="Z649" s="6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8" t="n"/>
    </row>
    <row r="650" ht="12.75" customHeight="1" s="517">
      <c r="E650" s="41" t="n"/>
      <c r="N650" s="8" t="n"/>
      <c r="O650" s="6" t="n"/>
      <c r="T650" s="6" t="n"/>
      <c r="Z650" s="6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8" t="n"/>
    </row>
    <row r="651" ht="12.75" customHeight="1" s="517">
      <c r="E651" s="41" t="n"/>
      <c r="N651" s="8" t="n"/>
      <c r="O651" s="6" t="n"/>
      <c r="T651" s="6" t="n"/>
      <c r="Z651" s="6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8" t="n"/>
    </row>
    <row r="652" ht="12.75" customHeight="1" s="517">
      <c r="E652" s="41" t="n"/>
      <c r="N652" s="8" t="n"/>
      <c r="O652" s="6" t="n"/>
      <c r="T652" s="6" t="n"/>
      <c r="Z652" s="6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8" t="n"/>
    </row>
    <row r="653" ht="12.75" customHeight="1" s="517">
      <c r="E653" s="41" t="n"/>
      <c r="N653" s="8" t="n"/>
      <c r="O653" s="6" t="n"/>
      <c r="T653" s="6" t="n"/>
      <c r="Z653" s="6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8" t="n"/>
    </row>
    <row r="654" ht="12.75" customHeight="1" s="517">
      <c r="E654" s="41" t="n"/>
      <c r="N654" s="8" t="n"/>
      <c r="O654" s="6" t="n"/>
      <c r="T654" s="6" t="n"/>
      <c r="Z654" s="6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8" t="n"/>
    </row>
    <row r="655" ht="12.75" customHeight="1" s="517">
      <c r="E655" s="41" t="n"/>
      <c r="N655" s="8" t="n"/>
      <c r="O655" s="6" t="n"/>
      <c r="T655" s="6" t="n"/>
      <c r="Z655" s="6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8" t="n"/>
    </row>
    <row r="656" ht="12.75" customHeight="1" s="517">
      <c r="E656" s="41" t="n"/>
      <c r="N656" s="8" t="n"/>
      <c r="O656" s="6" t="n"/>
      <c r="T656" s="6" t="n"/>
      <c r="Z656" s="6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8" t="n"/>
    </row>
    <row r="657" ht="12.75" customHeight="1" s="517">
      <c r="E657" s="41" t="n"/>
      <c r="N657" s="8" t="n"/>
      <c r="O657" s="6" t="n"/>
      <c r="T657" s="6" t="n"/>
      <c r="Z657" s="6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8" t="n"/>
    </row>
    <row r="658" ht="12.75" customHeight="1" s="517">
      <c r="E658" s="41" t="n"/>
      <c r="N658" s="8" t="n"/>
      <c r="O658" s="6" t="n"/>
      <c r="T658" s="6" t="n"/>
      <c r="Z658" s="6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8" t="n"/>
    </row>
    <row r="659" ht="12.75" customHeight="1" s="517">
      <c r="E659" s="41" t="n"/>
      <c r="N659" s="8" t="n"/>
      <c r="O659" s="6" t="n"/>
      <c r="T659" s="6" t="n"/>
      <c r="Z659" s="6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8" t="n"/>
    </row>
    <row r="660" ht="12.75" customHeight="1" s="517">
      <c r="E660" s="41" t="n"/>
      <c r="N660" s="8" t="n"/>
      <c r="O660" s="6" t="n"/>
      <c r="T660" s="6" t="n"/>
      <c r="Z660" s="6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8" t="n"/>
    </row>
    <row r="661" ht="12.75" customHeight="1" s="517">
      <c r="E661" s="41" t="n"/>
      <c r="N661" s="8" t="n"/>
      <c r="O661" s="6" t="n"/>
      <c r="T661" s="6" t="n"/>
      <c r="Z661" s="6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8" t="n"/>
    </row>
    <row r="662" ht="12.75" customHeight="1" s="517">
      <c r="E662" s="41" t="n"/>
      <c r="N662" s="8" t="n"/>
      <c r="O662" s="6" t="n"/>
      <c r="T662" s="6" t="n"/>
      <c r="Z662" s="6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8" t="n"/>
    </row>
    <row r="663" ht="12.75" customHeight="1" s="517">
      <c r="E663" s="41" t="n"/>
      <c r="N663" s="8" t="n"/>
      <c r="O663" s="6" t="n"/>
      <c r="T663" s="6" t="n"/>
      <c r="Z663" s="6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8" t="n"/>
    </row>
    <row r="664" ht="12.75" customHeight="1" s="517">
      <c r="E664" s="41" t="n"/>
      <c r="N664" s="8" t="n"/>
      <c r="O664" s="6" t="n"/>
      <c r="T664" s="6" t="n"/>
      <c r="Z664" s="6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8" t="n"/>
    </row>
    <row r="665" ht="12.75" customHeight="1" s="517">
      <c r="E665" s="41" t="n"/>
      <c r="N665" s="8" t="n"/>
      <c r="O665" s="6" t="n"/>
      <c r="T665" s="6" t="n"/>
      <c r="Z665" s="6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8" t="n"/>
    </row>
    <row r="666" ht="12.75" customHeight="1" s="517">
      <c r="E666" s="41" t="n"/>
      <c r="N666" s="8" t="n"/>
      <c r="O666" s="6" t="n"/>
      <c r="T666" s="6" t="n"/>
      <c r="Z666" s="6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8" t="n"/>
    </row>
    <row r="667" ht="12.75" customHeight="1" s="517">
      <c r="E667" s="41" t="n"/>
      <c r="N667" s="8" t="n"/>
      <c r="O667" s="6" t="n"/>
      <c r="T667" s="6" t="n"/>
      <c r="Z667" s="6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8" t="n"/>
    </row>
    <row r="668" ht="12.75" customHeight="1" s="517">
      <c r="E668" s="41" t="n"/>
      <c r="N668" s="8" t="n"/>
      <c r="O668" s="6" t="n"/>
      <c r="T668" s="6" t="n"/>
      <c r="Z668" s="6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8" t="n"/>
    </row>
    <row r="669" ht="12.75" customHeight="1" s="517">
      <c r="E669" s="41" t="n"/>
      <c r="N669" s="8" t="n"/>
      <c r="O669" s="6" t="n"/>
      <c r="T669" s="6" t="n"/>
      <c r="Z669" s="6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8" t="n"/>
    </row>
    <row r="670" ht="12.75" customHeight="1" s="517">
      <c r="E670" s="41" t="n"/>
      <c r="N670" s="8" t="n"/>
      <c r="O670" s="6" t="n"/>
      <c r="T670" s="6" t="n"/>
      <c r="Z670" s="6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8" t="n"/>
    </row>
    <row r="671" ht="12.75" customHeight="1" s="517">
      <c r="E671" s="41" t="n"/>
      <c r="N671" s="8" t="n"/>
      <c r="O671" s="6" t="n"/>
      <c r="T671" s="6" t="n"/>
      <c r="Z671" s="6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8" t="n"/>
    </row>
    <row r="672" ht="12.75" customHeight="1" s="517">
      <c r="E672" s="41" t="n"/>
      <c r="N672" s="8" t="n"/>
      <c r="O672" s="6" t="n"/>
      <c r="T672" s="6" t="n"/>
      <c r="Z672" s="6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8" t="n"/>
    </row>
    <row r="673" ht="12.75" customHeight="1" s="517">
      <c r="E673" s="41" t="n"/>
      <c r="N673" s="8" t="n"/>
      <c r="O673" s="6" t="n"/>
      <c r="T673" s="6" t="n"/>
      <c r="Z673" s="6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8" t="n"/>
    </row>
    <row r="674" ht="12.75" customHeight="1" s="517">
      <c r="E674" s="41" t="n"/>
      <c r="N674" s="8" t="n"/>
      <c r="O674" s="6" t="n"/>
      <c r="T674" s="6" t="n"/>
      <c r="Z674" s="6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8" t="n"/>
    </row>
    <row r="675" ht="12.75" customHeight="1" s="517">
      <c r="E675" s="41" t="n"/>
      <c r="N675" s="8" t="n"/>
      <c r="O675" s="6" t="n"/>
      <c r="T675" s="6" t="n"/>
      <c r="Z675" s="6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8" t="n"/>
    </row>
    <row r="676" ht="12.75" customHeight="1" s="517">
      <c r="E676" s="41" t="n"/>
      <c r="N676" s="8" t="n"/>
      <c r="O676" s="6" t="n"/>
      <c r="T676" s="6" t="n"/>
      <c r="Z676" s="6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8" t="n"/>
    </row>
    <row r="677" ht="12.75" customHeight="1" s="517">
      <c r="E677" s="41" t="n"/>
      <c r="N677" s="8" t="n"/>
      <c r="O677" s="6" t="n"/>
      <c r="T677" s="6" t="n"/>
      <c r="Z677" s="6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8" t="n"/>
    </row>
    <row r="678" ht="12.75" customHeight="1" s="517">
      <c r="E678" s="41" t="n"/>
      <c r="N678" s="8" t="n"/>
      <c r="O678" s="6" t="n"/>
      <c r="T678" s="6" t="n"/>
      <c r="Z678" s="6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8" t="n"/>
    </row>
    <row r="679" ht="12.75" customHeight="1" s="517">
      <c r="E679" s="41" t="n"/>
      <c r="N679" s="8" t="n"/>
      <c r="O679" s="6" t="n"/>
      <c r="T679" s="6" t="n"/>
      <c r="Z679" s="6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8" t="n"/>
    </row>
    <row r="680" ht="12.75" customHeight="1" s="517">
      <c r="E680" s="41" t="n"/>
      <c r="N680" s="8" t="n"/>
      <c r="O680" s="6" t="n"/>
      <c r="T680" s="6" t="n"/>
      <c r="Z680" s="6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8" t="n"/>
    </row>
    <row r="681" ht="12.75" customHeight="1" s="517">
      <c r="E681" s="41" t="n"/>
      <c r="N681" s="8" t="n"/>
      <c r="O681" s="6" t="n"/>
      <c r="T681" s="6" t="n"/>
      <c r="Z681" s="6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8" t="n"/>
    </row>
    <row r="682" ht="12.75" customHeight="1" s="517">
      <c r="E682" s="41" t="n"/>
      <c r="N682" s="8" t="n"/>
      <c r="O682" s="6" t="n"/>
      <c r="T682" s="6" t="n"/>
      <c r="Z682" s="6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8" t="n"/>
    </row>
    <row r="683" ht="12.75" customHeight="1" s="517">
      <c r="E683" s="41" t="n"/>
      <c r="N683" s="8" t="n"/>
      <c r="O683" s="6" t="n"/>
      <c r="T683" s="6" t="n"/>
      <c r="Z683" s="6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8" t="n"/>
    </row>
    <row r="684" ht="12.75" customHeight="1" s="517">
      <c r="E684" s="41" t="n"/>
      <c r="N684" s="8" t="n"/>
      <c r="O684" s="6" t="n"/>
      <c r="T684" s="6" t="n"/>
      <c r="Z684" s="6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8" t="n"/>
    </row>
    <row r="685" ht="12.75" customHeight="1" s="517">
      <c r="E685" s="41" t="n"/>
      <c r="N685" s="8" t="n"/>
      <c r="O685" s="6" t="n"/>
      <c r="T685" s="6" t="n"/>
      <c r="Z685" s="6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8" t="n"/>
    </row>
    <row r="686" ht="12.75" customHeight="1" s="517">
      <c r="E686" s="41" t="n"/>
      <c r="N686" s="8" t="n"/>
      <c r="O686" s="6" t="n"/>
      <c r="T686" s="6" t="n"/>
      <c r="Z686" s="6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8" t="n"/>
    </row>
    <row r="687" ht="12.75" customHeight="1" s="517">
      <c r="E687" s="41" t="n"/>
      <c r="N687" s="8" t="n"/>
      <c r="O687" s="6" t="n"/>
      <c r="T687" s="6" t="n"/>
      <c r="Z687" s="6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8" t="n"/>
    </row>
    <row r="688" ht="12.75" customHeight="1" s="517">
      <c r="E688" s="41" t="n"/>
      <c r="N688" s="8" t="n"/>
      <c r="O688" s="6" t="n"/>
      <c r="T688" s="6" t="n"/>
      <c r="Z688" s="6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8" t="n"/>
    </row>
    <row r="689" ht="12.75" customHeight="1" s="517">
      <c r="E689" s="41" t="n"/>
      <c r="N689" s="8" t="n"/>
      <c r="O689" s="6" t="n"/>
      <c r="T689" s="6" t="n"/>
      <c r="Z689" s="6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8" t="n"/>
    </row>
    <row r="690" ht="12.75" customHeight="1" s="517">
      <c r="E690" s="41" t="n"/>
      <c r="N690" s="8" t="n"/>
      <c r="O690" s="6" t="n"/>
      <c r="T690" s="6" t="n"/>
      <c r="Z690" s="6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8" t="n"/>
    </row>
    <row r="691" ht="12.75" customHeight="1" s="517">
      <c r="E691" s="41" t="n"/>
      <c r="N691" s="8" t="n"/>
      <c r="O691" s="6" t="n"/>
      <c r="T691" s="6" t="n"/>
      <c r="Z691" s="6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8" t="n"/>
    </row>
    <row r="692" ht="12.75" customHeight="1" s="517">
      <c r="E692" s="41" t="n"/>
      <c r="N692" s="8" t="n"/>
      <c r="O692" s="6" t="n"/>
      <c r="T692" s="6" t="n"/>
      <c r="Z692" s="6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8" t="n"/>
    </row>
    <row r="693" ht="12.75" customHeight="1" s="517">
      <c r="E693" s="41" t="n"/>
      <c r="N693" s="8" t="n"/>
      <c r="O693" s="6" t="n"/>
      <c r="T693" s="6" t="n"/>
      <c r="Z693" s="6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8" t="n"/>
    </row>
    <row r="694" ht="12.75" customHeight="1" s="517">
      <c r="E694" s="41" t="n"/>
      <c r="N694" s="8" t="n"/>
      <c r="O694" s="6" t="n"/>
      <c r="T694" s="6" t="n"/>
      <c r="Z694" s="6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8" t="n"/>
    </row>
    <row r="695" ht="12.75" customHeight="1" s="517">
      <c r="E695" s="41" t="n"/>
      <c r="N695" s="8" t="n"/>
      <c r="O695" s="6" t="n"/>
      <c r="T695" s="6" t="n"/>
      <c r="Z695" s="6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8" t="n"/>
    </row>
    <row r="696" ht="12.75" customHeight="1" s="517">
      <c r="E696" s="41" t="n"/>
      <c r="N696" s="8" t="n"/>
      <c r="O696" s="6" t="n"/>
      <c r="T696" s="6" t="n"/>
      <c r="Z696" s="6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8" t="n"/>
    </row>
    <row r="697" ht="12.75" customHeight="1" s="517">
      <c r="E697" s="41" t="n"/>
      <c r="N697" s="8" t="n"/>
      <c r="O697" s="6" t="n"/>
      <c r="T697" s="6" t="n"/>
      <c r="Z697" s="6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8" t="n"/>
    </row>
    <row r="698" ht="12.75" customHeight="1" s="517">
      <c r="E698" s="41" t="n"/>
      <c r="N698" s="8" t="n"/>
      <c r="O698" s="6" t="n"/>
      <c r="T698" s="6" t="n"/>
      <c r="Z698" s="6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8" t="n"/>
    </row>
    <row r="699" ht="12.75" customHeight="1" s="517">
      <c r="E699" s="41" t="n"/>
      <c r="N699" s="8" t="n"/>
      <c r="O699" s="6" t="n"/>
      <c r="T699" s="6" t="n"/>
      <c r="Z699" s="6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8" t="n"/>
    </row>
    <row r="700" ht="12.75" customHeight="1" s="517">
      <c r="E700" s="41" t="n"/>
      <c r="N700" s="8" t="n"/>
      <c r="O700" s="6" t="n"/>
      <c r="T700" s="6" t="n"/>
      <c r="Z700" s="6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8" t="n"/>
    </row>
    <row r="701" ht="12.75" customHeight="1" s="517">
      <c r="E701" s="41" t="n"/>
      <c r="N701" s="8" t="n"/>
      <c r="O701" s="6" t="n"/>
      <c r="T701" s="6" t="n"/>
      <c r="Z701" s="6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8" t="n"/>
    </row>
    <row r="702" ht="12.75" customHeight="1" s="517">
      <c r="E702" s="41" t="n"/>
      <c r="N702" s="8" t="n"/>
      <c r="O702" s="6" t="n"/>
      <c r="T702" s="6" t="n"/>
      <c r="Z702" s="6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8" t="n"/>
    </row>
    <row r="703" ht="12.75" customHeight="1" s="517">
      <c r="E703" s="41" t="n"/>
      <c r="N703" s="8" t="n"/>
      <c r="O703" s="6" t="n"/>
      <c r="T703" s="6" t="n"/>
      <c r="Z703" s="6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8" t="n"/>
    </row>
    <row r="704" ht="12.75" customHeight="1" s="517">
      <c r="E704" s="41" t="n"/>
      <c r="N704" s="8" t="n"/>
      <c r="O704" s="6" t="n"/>
      <c r="T704" s="6" t="n"/>
      <c r="Z704" s="6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8" t="n"/>
    </row>
    <row r="705" ht="12.75" customHeight="1" s="517">
      <c r="E705" s="41" t="n"/>
      <c r="N705" s="8" t="n"/>
      <c r="O705" s="6" t="n"/>
      <c r="T705" s="6" t="n"/>
      <c r="Z705" s="6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8" t="n"/>
    </row>
    <row r="706" ht="12.75" customHeight="1" s="517">
      <c r="E706" s="41" t="n"/>
      <c r="N706" s="8" t="n"/>
      <c r="O706" s="6" t="n"/>
      <c r="T706" s="6" t="n"/>
      <c r="Z706" s="6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8" t="n"/>
    </row>
    <row r="707" ht="12.75" customHeight="1" s="517">
      <c r="E707" s="41" t="n"/>
      <c r="N707" s="8" t="n"/>
      <c r="O707" s="6" t="n"/>
      <c r="T707" s="6" t="n"/>
      <c r="Z707" s="6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8" t="n"/>
    </row>
    <row r="708" ht="12.75" customHeight="1" s="517">
      <c r="E708" s="41" t="n"/>
      <c r="N708" s="8" t="n"/>
      <c r="O708" s="6" t="n"/>
      <c r="T708" s="6" t="n"/>
      <c r="Z708" s="6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8" t="n"/>
    </row>
    <row r="709" ht="12.75" customHeight="1" s="517">
      <c r="E709" s="41" t="n"/>
      <c r="N709" s="8" t="n"/>
      <c r="O709" s="6" t="n"/>
      <c r="T709" s="6" t="n"/>
      <c r="Z709" s="6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8" t="n"/>
    </row>
    <row r="710" ht="12.75" customHeight="1" s="517">
      <c r="E710" s="41" t="n"/>
      <c r="N710" s="8" t="n"/>
      <c r="O710" s="6" t="n"/>
      <c r="T710" s="6" t="n"/>
      <c r="Z710" s="6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8" t="n"/>
    </row>
    <row r="711" ht="12.75" customHeight="1" s="517">
      <c r="E711" s="41" t="n"/>
      <c r="N711" s="8" t="n"/>
      <c r="O711" s="6" t="n"/>
      <c r="T711" s="6" t="n"/>
      <c r="Z711" s="6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8" t="n"/>
    </row>
    <row r="712" ht="12.75" customHeight="1" s="517">
      <c r="E712" s="41" t="n"/>
      <c r="N712" s="8" t="n"/>
      <c r="O712" s="6" t="n"/>
      <c r="T712" s="6" t="n"/>
      <c r="Z712" s="6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8" t="n"/>
    </row>
    <row r="713" ht="12.75" customHeight="1" s="517">
      <c r="E713" s="41" t="n"/>
      <c r="N713" s="8" t="n"/>
      <c r="O713" s="6" t="n"/>
      <c r="T713" s="6" t="n"/>
      <c r="Z713" s="6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8" t="n"/>
    </row>
    <row r="714" ht="12.75" customHeight="1" s="517">
      <c r="E714" s="41" t="n"/>
      <c r="N714" s="8" t="n"/>
      <c r="O714" s="6" t="n"/>
      <c r="T714" s="6" t="n"/>
      <c r="Z714" s="6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8" t="n"/>
    </row>
    <row r="715" ht="12.75" customHeight="1" s="517">
      <c r="E715" s="41" t="n"/>
      <c r="N715" s="8" t="n"/>
      <c r="O715" s="6" t="n"/>
      <c r="T715" s="6" t="n"/>
      <c r="Z715" s="6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8" t="n"/>
    </row>
    <row r="716" ht="12.75" customHeight="1" s="517">
      <c r="E716" s="41" t="n"/>
      <c r="N716" s="8" t="n"/>
      <c r="O716" s="6" t="n"/>
      <c r="T716" s="6" t="n"/>
      <c r="Z716" s="6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8" t="n"/>
    </row>
    <row r="717" ht="12.75" customHeight="1" s="517">
      <c r="E717" s="41" t="n"/>
      <c r="N717" s="8" t="n"/>
      <c r="O717" s="6" t="n"/>
      <c r="T717" s="6" t="n"/>
      <c r="Z717" s="6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8" t="n"/>
    </row>
    <row r="718" ht="12.75" customHeight="1" s="517">
      <c r="E718" s="41" t="n"/>
      <c r="N718" s="8" t="n"/>
      <c r="O718" s="6" t="n"/>
      <c r="T718" s="6" t="n"/>
      <c r="Z718" s="6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8" t="n"/>
    </row>
    <row r="719" ht="12.75" customHeight="1" s="517">
      <c r="E719" s="41" t="n"/>
      <c r="N719" s="8" t="n"/>
      <c r="O719" s="6" t="n"/>
      <c r="T719" s="6" t="n"/>
      <c r="Z719" s="6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8" t="n"/>
    </row>
    <row r="720" ht="12.75" customHeight="1" s="517">
      <c r="E720" s="41" t="n"/>
      <c r="N720" s="8" t="n"/>
      <c r="O720" s="6" t="n"/>
      <c r="T720" s="6" t="n"/>
      <c r="Z720" s="6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8" t="n"/>
    </row>
    <row r="721" ht="12.75" customHeight="1" s="517">
      <c r="E721" s="41" t="n"/>
      <c r="N721" s="8" t="n"/>
      <c r="O721" s="6" t="n"/>
      <c r="T721" s="6" t="n"/>
      <c r="Z721" s="6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8" t="n"/>
    </row>
    <row r="722" ht="12.75" customHeight="1" s="517">
      <c r="E722" s="41" t="n"/>
      <c r="N722" s="8" t="n"/>
      <c r="O722" s="6" t="n"/>
      <c r="T722" s="6" t="n"/>
      <c r="Z722" s="6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8" t="n"/>
    </row>
    <row r="723" ht="12.75" customHeight="1" s="517">
      <c r="E723" s="41" t="n"/>
      <c r="N723" s="8" t="n"/>
      <c r="O723" s="6" t="n"/>
      <c r="T723" s="6" t="n"/>
      <c r="Z723" s="6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8" t="n"/>
    </row>
    <row r="724" ht="12.75" customHeight="1" s="517">
      <c r="E724" s="41" t="n"/>
      <c r="N724" s="8" t="n"/>
      <c r="O724" s="6" t="n"/>
      <c r="T724" s="6" t="n"/>
      <c r="Z724" s="6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8" t="n"/>
    </row>
    <row r="725" ht="12.75" customHeight="1" s="517">
      <c r="E725" s="41" t="n"/>
      <c r="N725" s="8" t="n"/>
      <c r="O725" s="6" t="n"/>
      <c r="T725" s="6" t="n"/>
      <c r="Z725" s="6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8" t="n"/>
    </row>
    <row r="726" ht="12.75" customHeight="1" s="517">
      <c r="E726" s="41" t="n"/>
      <c r="N726" s="8" t="n"/>
      <c r="O726" s="6" t="n"/>
      <c r="T726" s="6" t="n"/>
      <c r="Z726" s="6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8" t="n"/>
    </row>
    <row r="727" ht="12.75" customHeight="1" s="517">
      <c r="E727" s="41" t="n"/>
      <c r="N727" s="8" t="n"/>
      <c r="O727" s="6" t="n"/>
      <c r="T727" s="6" t="n"/>
      <c r="Z727" s="6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8" t="n"/>
    </row>
    <row r="728" ht="12.75" customHeight="1" s="517">
      <c r="E728" s="41" t="n"/>
      <c r="N728" s="8" t="n"/>
      <c r="O728" s="6" t="n"/>
      <c r="T728" s="6" t="n"/>
      <c r="Z728" s="6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8" t="n"/>
    </row>
    <row r="729" ht="12.75" customHeight="1" s="517">
      <c r="E729" s="41" t="n"/>
      <c r="N729" s="8" t="n"/>
      <c r="O729" s="6" t="n"/>
      <c r="T729" s="6" t="n"/>
      <c r="Z729" s="6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8" t="n"/>
    </row>
    <row r="730" ht="12.75" customHeight="1" s="517">
      <c r="E730" s="41" t="n"/>
      <c r="N730" s="8" t="n"/>
      <c r="O730" s="6" t="n"/>
      <c r="T730" s="6" t="n"/>
      <c r="Z730" s="6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8" t="n"/>
    </row>
    <row r="731" ht="12.75" customHeight="1" s="517">
      <c r="E731" s="41" t="n"/>
      <c r="N731" s="8" t="n"/>
      <c r="O731" s="6" t="n"/>
      <c r="T731" s="6" t="n"/>
      <c r="Z731" s="6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8" t="n"/>
    </row>
    <row r="732" ht="12.75" customHeight="1" s="517">
      <c r="E732" s="41" t="n"/>
      <c r="N732" s="8" t="n"/>
      <c r="O732" s="6" t="n"/>
      <c r="T732" s="6" t="n"/>
      <c r="Z732" s="6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8" t="n"/>
    </row>
    <row r="733" ht="12.75" customHeight="1" s="517">
      <c r="E733" s="41" t="n"/>
      <c r="N733" s="8" t="n"/>
      <c r="O733" s="6" t="n"/>
      <c r="T733" s="6" t="n"/>
      <c r="Z733" s="6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8" t="n"/>
    </row>
    <row r="734" ht="12.75" customHeight="1" s="517">
      <c r="E734" s="41" t="n"/>
      <c r="N734" s="8" t="n"/>
      <c r="O734" s="6" t="n"/>
      <c r="T734" s="6" t="n"/>
      <c r="Z734" s="6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8" t="n"/>
    </row>
    <row r="735" ht="12.75" customHeight="1" s="517">
      <c r="E735" s="41" t="n"/>
      <c r="N735" s="8" t="n"/>
      <c r="O735" s="6" t="n"/>
      <c r="T735" s="6" t="n"/>
      <c r="Z735" s="6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8" t="n"/>
    </row>
    <row r="736" ht="12.75" customHeight="1" s="517">
      <c r="E736" s="41" t="n"/>
      <c r="N736" s="8" t="n"/>
      <c r="O736" s="6" t="n"/>
      <c r="T736" s="6" t="n"/>
      <c r="Z736" s="6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8" t="n"/>
    </row>
    <row r="737" ht="12.75" customHeight="1" s="517">
      <c r="E737" s="41" t="n"/>
      <c r="N737" s="8" t="n"/>
      <c r="O737" s="6" t="n"/>
      <c r="T737" s="6" t="n"/>
      <c r="Z737" s="6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8" t="n"/>
    </row>
    <row r="738" ht="12.75" customHeight="1" s="517">
      <c r="E738" s="41" t="n"/>
      <c r="N738" s="8" t="n"/>
      <c r="O738" s="6" t="n"/>
      <c r="T738" s="6" t="n"/>
      <c r="Z738" s="6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8" t="n"/>
    </row>
    <row r="739" ht="12.75" customHeight="1" s="517">
      <c r="E739" s="41" t="n"/>
      <c r="N739" s="8" t="n"/>
      <c r="O739" s="6" t="n"/>
      <c r="T739" s="6" t="n"/>
      <c r="Z739" s="6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8" t="n"/>
    </row>
    <row r="740" ht="12.75" customHeight="1" s="517">
      <c r="E740" s="41" t="n"/>
      <c r="N740" s="8" t="n"/>
      <c r="O740" s="6" t="n"/>
      <c r="T740" s="6" t="n"/>
      <c r="Z740" s="6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8" t="n"/>
    </row>
    <row r="741" ht="12.75" customHeight="1" s="517">
      <c r="E741" s="41" t="n"/>
      <c r="N741" s="8" t="n"/>
      <c r="O741" s="6" t="n"/>
      <c r="T741" s="6" t="n"/>
      <c r="Z741" s="6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8" t="n"/>
    </row>
    <row r="742" ht="12.75" customHeight="1" s="517">
      <c r="E742" s="41" t="n"/>
      <c r="N742" s="8" t="n"/>
      <c r="O742" s="6" t="n"/>
      <c r="T742" s="6" t="n"/>
      <c r="Z742" s="6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8" t="n"/>
    </row>
    <row r="743" ht="12.75" customHeight="1" s="517">
      <c r="E743" s="41" t="n"/>
      <c r="N743" s="8" t="n"/>
      <c r="O743" s="6" t="n"/>
      <c r="T743" s="6" t="n"/>
      <c r="Z743" s="6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8" t="n"/>
    </row>
    <row r="744" ht="12.75" customHeight="1" s="517">
      <c r="E744" s="41" t="n"/>
      <c r="N744" s="8" t="n"/>
      <c r="O744" s="6" t="n"/>
      <c r="T744" s="6" t="n"/>
      <c r="Z744" s="6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8" t="n"/>
    </row>
    <row r="745" ht="12.75" customHeight="1" s="517">
      <c r="E745" s="41" t="n"/>
      <c r="N745" s="8" t="n"/>
      <c r="O745" s="6" t="n"/>
      <c r="T745" s="6" t="n"/>
      <c r="Z745" s="6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8" t="n"/>
    </row>
    <row r="746" ht="12.75" customHeight="1" s="517">
      <c r="E746" s="41" t="n"/>
      <c r="N746" s="8" t="n"/>
      <c r="O746" s="6" t="n"/>
      <c r="T746" s="6" t="n"/>
      <c r="Z746" s="6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8" t="n"/>
    </row>
    <row r="747" ht="12.75" customHeight="1" s="517">
      <c r="E747" s="41" t="n"/>
      <c r="N747" s="8" t="n"/>
      <c r="O747" s="6" t="n"/>
      <c r="T747" s="6" t="n"/>
      <c r="Z747" s="6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8" t="n"/>
    </row>
    <row r="748" ht="12.75" customHeight="1" s="517">
      <c r="E748" s="41" t="n"/>
      <c r="N748" s="8" t="n"/>
      <c r="O748" s="6" t="n"/>
      <c r="T748" s="6" t="n"/>
      <c r="Z748" s="6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8" t="n"/>
    </row>
    <row r="749" ht="12.75" customHeight="1" s="517">
      <c r="E749" s="41" t="n"/>
      <c r="N749" s="8" t="n"/>
      <c r="O749" s="6" t="n"/>
      <c r="T749" s="6" t="n"/>
      <c r="Z749" s="6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8" t="n"/>
    </row>
    <row r="750" ht="12.75" customHeight="1" s="517">
      <c r="E750" s="41" t="n"/>
      <c r="N750" s="8" t="n"/>
      <c r="O750" s="6" t="n"/>
      <c r="T750" s="6" t="n"/>
      <c r="Z750" s="6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8" t="n"/>
    </row>
    <row r="751" ht="12.75" customHeight="1" s="517">
      <c r="E751" s="41" t="n"/>
      <c r="N751" s="8" t="n"/>
      <c r="O751" s="6" t="n"/>
      <c r="T751" s="6" t="n"/>
      <c r="Z751" s="6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8" t="n"/>
    </row>
    <row r="752" ht="12.75" customHeight="1" s="517">
      <c r="E752" s="41" t="n"/>
      <c r="N752" s="8" t="n"/>
      <c r="O752" s="6" t="n"/>
      <c r="T752" s="6" t="n"/>
      <c r="Z752" s="6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8" t="n"/>
    </row>
    <row r="753" ht="12.75" customHeight="1" s="517">
      <c r="E753" s="41" t="n"/>
      <c r="N753" s="8" t="n"/>
      <c r="O753" s="6" t="n"/>
      <c r="T753" s="6" t="n"/>
      <c r="Z753" s="6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8" t="n"/>
    </row>
    <row r="754" ht="12.75" customHeight="1" s="517">
      <c r="E754" s="41" t="n"/>
      <c r="N754" s="8" t="n"/>
      <c r="O754" s="6" t="n"/>
      <c r="T754" s="6" t="n"/>
      <c r="Z754" s="6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8" t="n"/>
    </row>
    <row r="755" ht="12.75" customHeight="1" s="517">
      <c r="E755" s="41" t="n"/>
      <c r="N755" s="8" t="n"/>
      <c r="O755" s="6" t="n"/>
      <c r="T755" s="6" t="n"/>
      <c r="Z755" s="6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8" t="n"/>
    </row>
    <row r="756" ht="12.75" customHeight="1" s="517">
      <c r="E756" s="41" t="n"/>
      <c r="N756" s="8" t="n"/>
      <c r="O756" s="6" t="n"/>
      <c r="T756" s="6" t="n"/>
      <c r="Z756" s="6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8" t="n"/>
    </row>
    <row r="757" ht="12.75" customHeight="1" s="517">
      <c r="E757" s="41" t="n"/>
      <c r="N757" s="8" t="n"/>
      <c r="O757" s="6" t="n"/>
      <c r="T757" s="6" t="n"/>
      <c r="Z757" s="6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8" t="n"/>
    </row>
    <row r="758" ht="12.75" customHeight="1" s="517">
      <c r="E758" s="41" t="n"/>
      <c r="N758" s="8" t="n"/>
      <c r="O758" s="6" t="n"/>
      <c r="T758" s="6" t="n"/>
      <c r="Z758" s="6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8" t="n"/>
    </row>
    <row r="759" ht="12.75" customHeight="1" s="517">
      <c r="E759" s="41" t="n"/>
      <c r="N759" s="8" t="n"/>
      <c r="O759" s="6" t="n"/>
      <c r="T759" s="6" t="n"/>
      <c r="Z759" s="6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8" t="n"/>
    </row>
    <row r="760" ht="12.75" customHeight="1" s="517">
      <c r="E760" s="41" t="n"/>
      <c r="N760" s="8" t="n"/>
      <c r="O760" s="6" t="n"/>
      <c r="T760" s="6" t="n"/>
      <c r="Z760" s="6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8" t="n"/>
    </row>
    <row r="761" ht="12.75" customHeight="1" s="517">
      <c r="E761" s="41" t="n"/>
      <c r="N761" s="8" t="n"/>
      <c r="O761" s="6" t="n"/>
      <c r="T761" s="6" t="n"/>
      <c r="Z761" s="6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8" t="n"/>
    </row>
    <row r="762" ht="12.75" customHeight="1" s="517">
      <c r="E762" s="41" t="n"/>
      <c r="N762" s="8" t="n"/>
      <c r="O762" s="6" t="n"/>
      <c r="T762" s="6" t="n"/>
      <c r="Z762" s="6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8" t="n"/>
    </row>
    <row r="763" ht="12.75" customHeight="1" s="517">
      <c r="E763" s="41" t="n"/>
      <c r="N763" s="8" t="n"/>
      <c r="O763" s="6" t="n"/>
      <c r="T763" s="6" t="n"/>
      <c r="Z763" s="6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8" t="n"/>
    </row>
    <row r="764" ht="12.75" customHeight="1" s="517">
      <c r="E764" s="41" t="n"/>
      <c r="N764" s="8" t="n"/>
      <c r="O764" s="6" t="n"/>
      <c r="T764" s="6" t="n"/>
      <c r="Z764" s="6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8" t="n"/>
    </row>
    <row r="765" ht="12.75" customHeight="1" s="517">
      <c r="E765" s="41" t="n"/>
      <c r="N765" s="8" t="n"/>
      <c r="O765" s="6" t="n"/>
      <c r="T765" s="6" t="n"/>
      <c r="Z765" s="6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8" t="n"/>
    </row>
    <row r="766" ht="12.75" customHeight="1" s="517">
      <c r="E766" s="41" t="n"/>
      <c r="N766" s="8" t="n"/>
      <c r="O766" s="6" t="n"/>
      <c r="T766" s="6" t="n"/>
      <c r="Z766" s="6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8" t="n"/>
    </row>
    <row r="767" ht="12.75" customHeight="1" s="517">
      <c r="E767" s="41" t="n"/>
      <c r="N767" s="8" t="n"/>
      <c r="O767" s="6" t="n"/>
      <c r="T767" s="6" t="n"/>
      <c r="Z767" s="6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8" t="n"/>
    </row>
    <row r="768" ht="12.75" customHeight="1" s="517">
      <c r="E768" s="41" t="n"/>
      <c r="N768" s="8" t="n"/>
      <c r="O768" s="6" t="n"/>
      <c r="T768" s="6" t="n"/>
      <c r="Z768" s="6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8" t="n"/>
    </row>
    <row r="769" ht="12.75" customHeight="1" s="517">
      <c r="E769" s="41" t="n"/>
      <c r="N769" s="8" t="n"/>
      <c r="O769" s="6" t="n"/>
      <c r="T769" s="6" t="n"/>
      <c r="Z769" s="6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8" t="n"/>
    </row>
    <row r="770" ht="12.75" customHeight="1" s="517">
      <c r="E770" s="41" t="n"/>
      <c r="N770" s="8" t="n"/>
      <c r="O770" s="6" t="n"/>
      <c r="T770" s="6" t="n"/>
      <c r="Z770" s="6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8" t="n"/>
    </row>
    <row r="771" ht="12.75" customHeight="1" s="517">
      <c r="E771" s="41" t="n"/>
      <c r="N771" s="8" t="n"/>
      <c r="O771" s="6" t="n"/>
      <c r="T771" s="6" t="n"/>
      <c r="Z771" s="6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8" t="n"/>
    </row>
    <row r="772" ht="12.75" customHeight="1" s="517">
      <c r="E772" s="41" t="n"/>
      <c r="N772" s="8" t="n"/>
      <c r="O772" s="6" t="n"/>
      <c r="T772" s="6" t="n"/>
      <c r="Z772" s="6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8" t="n"/>
    </row>
    <row r="773" ht="12.75" customHeight="1" s="517">
      <c r="E773" s="41" t="n"/>
      <c r="N773" s="8" t="n"/>
      <c r="O773" s="6" t="n"/>
      <c r="T773" s="6" t="n"/>
      <c r="Z773" s="6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8" t="n"/>
    </row>
    <row r="774" ht="12.75" customHeight="1" s="517">
      <c r="E774" s="41" t="n"/>
      <c r="N774" s="8" t="n"/>
      <c r="O774" s="6" t="n"/>
      <c r="T774" s="6" t="n"/>
      <c r="Z774" s="6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8" t="n"/>
    </row>
    <row r="775" ht="12.75" customHeight="1" s="517">
      <c r="E775" s="41" t="n"/>
      <c r="N775" s="8" t="n"/>
      <c r="O775" s="6" t="n"/>
      <c r="T775" s="6" t="n"/>
      <c r="Z775" s="6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8" t="n"/>
    </row>
    <row r="776" ht="12.75" customHeight="1" s="517">
      <c r="E776" s="41" t="n"/>
      <c r="N776" s="8" t="n"/>
      <c r="O776" s="6" t="n"/>
      <c r="T776" s="6" t="n"/>
      <c r="Z776" s="6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8" t="n"/>
    </row>
    <row r="777" ht="12.75" customHeight="1" s="517">
      <c r="E777" s="41" t="n"/>
      <c r="N777" s="8" t="n"/>
      <c r="O777" s="6" t="n"/>
      <c r="T777" s="6" t="n"/>
      <c r="Z777" s="6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8" t="n"/>
    </row>
    <row r="778" ht="12.75" customHeight="1" s="517">
      <c r="E778" s="41" t="n"/>
      <c r="N778" s="8" t="n"/>
      <c r="O778" s="6" t="n"/>
      <c r="T778" s="6" t="n"/>
      <c r="Z778" s="6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8" t="n"/>
    </row>
    <row r="779" ht="12.75" customHeight="1" s="517">
      <c r="E779" s="41" t="n"/>
      <c r="N779" s="8" t="n"/>
      <c r="O779" s="6" t="n"/>
      <c r="T779" s="6" t="n"/>
      <c r="Z779" s="6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8" t="n"/>
    </row>
    <row r="780" ht="12.75" customHeight="1" s="517">
      <c r="E780" s="41" t="n"/>
      <c r="N780" s="8" t="n"/>
      <c r="O780" s="6" t="n"/>
      <c r="T780" s="6" t="n"/>
      <c r="Z780" s="6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8" t="n"/>
    </row>
    <row r="781" ht="12.75" customHeight="1" s="517">
      <c r="E781" s="41" t="n"/>
      <c r="N781" s="8" t="n"/>
      <c r="O781" s="6" t="n"/>
      <c r="T781" s="6" t="n"/>
      <c r="Z781" s="6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8" t="n"/>
    </row>
    <row r="782" ht="12.75" customHeight="1" s="517">
      <c r="E782" s="41" t="n"/>
      <c r="N782" s="8" t="n"/>
      <c r="O782" s="6" t="n"/>
      <c r="T782" s="6" t="n"/>
      <c r="Z782" s="6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8" t="n"/>
    </row>
    <row r="783" ht="12.75" customHeight="1" s="517">
      <c r="E783" s="41" t="n"/>
      <c r="N783" s="8" t="n"/>
      <c r="O783" s="6" t="n"/>
      <c r="T783" s="6" t="n"/>
      <c r="Z783" s="6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8" t="n"/>
    </row>
    <row r="784" ht="12.75" customHeight="1" s="517">
      <c r="E784" s="41" t="n"/>
      <c r="N784" s="8" t="n"/>
      <c r="O784" s="6" t="n"/>
      <c r="T784" s="6" t="n"/>
      <c r="Z784" s="6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8" t="n"/>
    </row>
    <row r="785" ht="12.75" customHeight="1" s="517">
      <c r="E785" s="41" t="n"/>
      <c r="N785" s="8" t="n"/>
      <c r="O785" s="6" t="n"/>
      <c r="T785" s="6" t="n"/>
      <c r="Z785" s="6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8" t="n"/>
    </row>
    <row r="786" ht="12.75" customHeight="1" s="517">
      <c r="E786" s="41" t="n"/>
      <c r="N786" s="8" t="n"/>
      <c r="O786" s="6" t="n"/>
      <c r="T786" s="6" t="n"/>
      <c r="Z786" s="6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8" t="n"/>
    </row>
    <row r="787" ht="12.75" customHeight="1" s="517">
      <c r="E787" s="41" t="n"/>
      <c r="N787" s="8" t="n"/>
      <c r="O787" s="6" t="n"/>
      <c r="T787" s="6" t="n"/>
      <c r="Z787" s="6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8" t="n"/>
    </row>
    <row r="788" ht="12.75" customHeight="1" s="517">
      <c r="E788" s="41" t="n"/>
      <c r="N788" s="8" t="n"/>
      <c r="O788" s="6" t="n"/>
      <c r="T788" s="6" t="n"/>
      <c r="Z788" s="6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8" t="n"/>
    </row>
    <row r="789" ht="12.75" customHeight="1" s="517">
      <c r="E789" s="41" t="n"/>
      <c r="N789" s="8" t="n"/>
      <c r="O789" s="6" t="n"/>
      <c r="T789" s="6" t="n"/>
      <c r="Z789" s="6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8" t="n"/>
    </row>
    <row r="790" ht="12.75" customHeight="1" s="517">
      <c r="E790" s="41" t="n"/>
      <c r="N790" s="8" t="n"/>
      <c r="O790" s="6" t="n"/>
      <c r="T790" s="6" t="n"/>
      <c r="Z790" s="6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8" t="n"/>
    </row>
    <row r="791" ht="12.75" customHeight="1" s="517">
      <c r="E791" s="41" t="n"/>
      <c r="N791" s="8" t="n"/>
      <c r="O791" s="6" t="n"/>
      <c r="T791" s="6" t="n"/>
      <c r="Z791" s="6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8" t="n"/>
    </row>
    <row r="792" ht="12.75" customHeight="1" s="517">
      <c r="E792" s="41" t="n"/>
      <c r="N792" s="8" t="n"/>
      <c r="O792" s="6" t="n"/>
      <c r="T792" s="6" t="n"/>
      <c r="Z792" s="6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8" t="n"/>
    </row>
    <row r="793" ht="12.75" customHeight="1" s="517">
      <c r="E793" s="41" t="n"/>
      <c r="N793" s="8" t="n"/>
      <c r="O793" s="6" t="n"/>
      <c r="T793" s="6" t="n"/>
      <c r="Z793" s="6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8" t="n"/>
    </row>
    <row r="794" ht="12.75" customHeight="1" s="517">
      <c r="E794" s="41" t="n"/>
      <c r="N794" s="8" t="n"/>
      <c r="O794" s="6" t="n"/>
      <c r="T794" s="6" t="n"/>
      <c r="Z794" s="6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8" t="n"/>
    </row>
    <row r="795" ht="12.75" customHeight="1" s="517">
      <c r="E795" s="41" t="n"/>
      <c r="N795" s="8" t="n"/>
      <c r="O795" s="6" t="n"/>
      <c r="T795" s="6" t="n"/>
      <c r="Z795" s="6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8" t="n"/>
    </row>
    <row r="796" ht="12.75" customHeight="1" s="517">
      <c r="E796" s="41" t="n"/>
      <c r="N796" s="8" t="n"/>
      <c r="O796" s="6" t="n"/>
      <c r="T796" s="6" t="n"/>
      <c r="Z796" s="6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8" t="n"/>
    </row>
    <row r="797" ht="12.75" customHeight="1" s="517">
      <c r="E797" s="41" t="n"/>
      <c r="N797" s="8" t="n"/>
      <c r="O797" s="6" t="n"/>
      <c r="T797" s="6" t="n"/>
      <c r="Z797" s="6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8" t="n"/>
    </row>
    <row r="798" ht="12.75" customHeight="1" s="517">
      <c r="E798" s="41" t="n"/>
      <c r="N798" s="8" t="n"/>
      <c r="O798" s="6" t="n"/>
      <c r="T798" s="6" t="n"/>
      <c r="Z798" s="6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8" t="n"/>
    </row>
    <row r="799" ht="12.75" customHeight="1" s="517">
      <c r="E799" s="41" t="n"/>
      <c r="N799" s="8" t="n"/>
      <c r="O799" s="6" t="n"/>
      <c r="T799" s="6" t="n"/>
      <c r="Z799" s="6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8" t="n"/>
    </row>
    <row r="800" ht="12.75" customHeight="1" s="517">
      <c r="E800" s="41" t="n"/>
      <c r="N800" s="8" t="n"/>
      <c r="O800" s="6" t="n"/>
      <c r="T800" s="6" t="n"/>
      <c r="Z800" s="6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8" t="n"/>
    </row>
    <row r="801" ht="12.75" customHeight="1" s="517">
      <c r="E801" s="41" t="n"/>
      <c r="N801" s="8" t="n"/>
      <c r="O801" s="6" t="n"/>
      <c r="T801" s="6" t="n"/>
      <c r="Z801" s="6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8" t="n"/>
    </row>
    <row r="802" ht="12.75" customHeight="1" s="517">
      <c r="E802" s="41" t="n"/>
      <c r="N802" s="8" t="n"/>
      <c r="O802" s="6" t="n"/>
      <c r="T802" s="6" t="n"/>
      <c r="Z802" s="6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8" t="n"/>
    </row>
    <row r="803" ht="12.75" customHeight="1" s="517">
      <c r="E803" s="41" t="n"/>
      <c r="N803" s="8" t="n"/>
      <c r="O803" s="6" t="n"/>
      <c r="T803" s="6" t="n"/>
      <c r="Z803" s="6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8" t="n"/>
    </row>
    <row r="804" ht="12.75" customHeight="1" s="517">
      <c r="E804" s="41" t="n"/>
      <c r="N804" s="8" t="n"/>
      <c r="O804" s="6" t="n"/>
      <c r="T804" s="6" t="n"/>
      <c r="Z804" s="6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8" t="n"/>
    </row>
    <row r="805" ht="12.75" customHeight="1" s="517">
      <c r="E805" s="41" t="n"/>
      <c r="N805" s="8" t="n"/>
      <c r="O805" s="6" t="n"/>
      <c r="T805" s="6" t="n"/>
      <c r="Z805" s="6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8" t="n"/>
    </row>
    <row r="806" ht="12.75" customHeight="1" s="517">
      <c r="E806" s="41" t="n"/>
      <c r="N806" s="8" t="n"/>
      <c r="O806" s="6" t="n"/>
      <c r="T806" s="6" t="n"/>
      <c r="Z806" s="6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8" t="n"/>
    </row>
    <row r="807" ht="12.75" customHeight="1" s="517">
      <c r="E807" s="41" t="n"/>
      <c r="N807" s="8" t="n"/>
      <c r="O807" s="6" t="n"/>
      <c r="T807" s="6" t="n"/>
      <c r="Z807" s="6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8" t="n"/>
    </row>
    <row r="808" ht="12.75" customHeight="1" s="517">
      <c r="E808" s="41" t="n"/>
      <c r="N808" s="8" t="n"/>
      <c r="O808" s="6" t="n"/>
      <c r="T808" s="6" t="n"/>
      <c r="Z808" s="6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8" t="n"/>
    </row>
    <row r="809" ht="12.75" customHeight="1" s="517">
      <c r="E809" s="41" t="n"/>
      <c r="N809" s="8" t="n"/>
      <c r="O809" s="6" t="n"/>
      <c r="T809" s="6" t="n"/>
      <c r="Z809" s="6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8" t="n"/>
    </row>
    <row r="810" ht="12.75" customHeight="1" s="517">
      <c r="E810" s="41" t="n"/>
      <c r="N810" s="8" t="n"/>
      <c r="O810" s="6" t="n"/>
      <c r="T810" s="6" t="n"/>
      <c r="Z810" s="6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8" t="n"/>
    </row>
    <row r="811" ht="12.75" customHeight="1" s="517">
      <c r="E811" s="41" t="n"/>
      <c r="N811" s="8" t="n"/>
      <c r="O811" s="6" t="n"/>
      <c r="T811" s="6" t="n"/>
      <c r="Z811" s="6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8" t="n"/>
    </row>
    <row r="812" ht="12.75" customHeight="1" s="517">
      <c r="E812" s="41" t="n"/>
      <c r="N812" s="8" t="n"/>
      <c r="O812" s="6" t="n"/>
      <c r="T812" s="6" t="n"/>
      <c r="Z812" s="6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8" t="n"/>
    </row>
    <row r="813" ht="12.75" customHeight="1" s="517">
      <c r="E813" s="41" t="n"/>
      <c r="N813" s="8" t="n"/>
      <c r="O813" s="6" t="n"/>
      <c r="T813" s="6" t="n"/>
      <c r="Z813" s="6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8" t="n"/>
    </row>
    <row r="814" ht="12.75" customHeight="1" s="517">
      <c r="E814" s="41" t="n"/>
      <c r="N814" s="8" t="n"/>
      <c r="O814" s="6" t="n"/>
      <c r="T814" s="6" t="n"/>
      <c r="Z814" s="6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8" t="n"/>
    </row>
    <row r="815" ht="12.75" customHeight="1" s="517">
      <c r="E815" s="41" t="n"/>
      <c r="N815" s="8" t="n"/>
      <c r="O815" s="6" t="n"/>
      <c r="T815" s="6" t="n"/>
      <c r="Z815" s="6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8" t="n"/>
    </row>
    <row r="816" ht="12.75" customHeight="1" s="517">
      <c r="E816" s="41" t="n"/>
      <c r="N816" s="8" t="n"/>
      <c r="O816" s="6" t="n"/>
      <c r="T816" s="6" t="n"/>
      <c r="Z816" s="6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8" t="n"/>
    </row>
    <row r="817" ht="12.75" customHeight="1" s="517">
      <c r="E817" s="41" t="n"/>
      <c r="N817" s="8" t="n"/>
      <c r="O817" s="6" t="n"/>
      <c r="T817" s="6" t="n"/>
      <c r="Z817" s="6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8" t="n"/>
    </row>
    <row r="818" ht="12.75" customHeight="1" s="517">
      <c r="E818" s="41" t="n"/>
      <c r="N818" s="8" t="n"/>
      <c r="O818" s="6" t="n"/>
      <c r="T818" s="6" t="n"/>
      <c r="Z818" s="6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8" t="n"/>
    </row>
    <row r="819" ht="12.75" customHeight="1" s="517">
      <c r="E819" s="41" t="n"/>
      <c r="N819" s="8" t="n"/>
      <c r="O819" s="6" t="n"/>
      <c r="T819" s="6" t="n"/>
      <c r="Z819" s="6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8" t="n"/>
    </row>
    <row r="820" ht="12.75" customHeight="1" s="517">
      <c r="E820" s="41" t="n"/>
      <c r="N820" s="8" t="n"/>
      <c r="O820" s="6" t="n"/>
      <c r="T820" s="6" t="n"/>
      <c r="Z820" s="6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8" t="n"/>
    </row>
    <row r="821" ht="12.75" customHeight="1" s="517">
      <c r="E821" s="41" t="n"/>
      <c r="N821" s="8" t="n"/>
      <c r="O821" s="6" t="n"/>
      <c r="T821" s="6" t="n"/>
      <c r="Z821" s="6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8" t="n"/>
    </row>
    <row r="822" ht="12.75" customHeight="1" s="517">
      <c r="E822" s="41" t="n"/>
      <c r="N822" s="8" t="n"/>
      <c r="O822" s="6" t="n"/>
      <c r="T822" s="6" t="n"/>
      <c r="Z822" s="6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8" t="n"/>
    </row>
    <row r="823" ht="12.75" customHeight="1" s="517">
      <c r="E823" s="41" t="n"/>
      <c r="N823" s="8" t="n"/>
      <c r="O823" s="6" t="n"/>
      <c r="T823" s="6" t="n"/>
      <c r="Z823" s="6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8" t="n"/>
    </row>
    <row r="824" ht="12.75" customHeight="1" s="517">
      <c r="E824" s="41" t="n"/>
      <c r="N824" s="8" t="n"/>
      <c r="O824" s="6" t="n"/>
      <c r="T824" s="6" t="n"/>
      <c r="Z824" s="6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8" t="n"/>
    </row>
    <row r="825" ht="12.75" customHeight="1" s="517">
      <c r="E825" s="41" t="n"/>
      <c r="N825" s="8" t="n"/>
      <c r="O825" s="6" t="n"/>
      <c r="T825" s="6" t="n"/>
      <c r="Z825" s="6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8" t="n"/>
    </row>
    <row r="826" ht="12.75" customHeight="1" s="517">
      <c r="E826" s="41" t="n"/>
      <c r="N826" s="8" t="n"/>
      <c r="O826" s="6" t="n"/>
      <c r="T826" s="6" t="n"/>
      <c r="Z826" s="6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8" t="n"/>
    </row>
    <row r="827" ht="12.75" customHeight="1" s="517">
      <c r="E827" s="41" t="n"/>
      <c r="N827" s="8" t="n"/>
      <c r="O827" s="6" t="n"/>
      <c r="T827" s="6" t="n"/>
      <c r="Z827" s="6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8" t="n"/>
    </row>
    <row r="828" ht="12.75" customHeight="1" s="517">
      <c r="E828" s="41" t="n"/>
      <c r="N828" s="8" t="n"/>
      <c r="O828" s="6" t="n"/>
      <c r="T828" s="6" t="n"/>
      <c r="Z828" s="6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8" t="n"/>
    </row>
    <row r="829" ht="12.75" customHeight="1" s="517">
      <c r="E829" s="41" t="n"/>
      <c r="N829" s="8" t="n"/>
      <c r="O829" s="6" t="n"/>
      <c r="T829" s="6" t="n"/>
      <c r="Z829" s="6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8" t="n"/>
    </row>
    <row r="830" ht="12.75" customHeight="1" s="517">
      <c r="E830" s="41" t="n"/>
      <c r="N830" s="8" t="n"/>
      <c r="O830" s="6" t="n"/>
      <c r="T830" s="6" t="n"/>
      <c r="Z830" s="6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8" t="n"/>
    </row>
    <row r="831" ht="12.75" customHeight="1" s="517">
      <c r="E831" s="41" t="n"/>
      <c r="N831" s="8" t="n"/>
      <c r="O831" s="6" t="n"/>
      <c r="T831" s="6" t="n"/>
      <c r="Z831" s="6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8" t="n"/>
    </row>
    <row r="832" ht="12.75" customHeight="1" s="517">
      <c r="E832" s="41" t="n"/>
      <c r="N832" s="8" t="n"/>
      <c r="O832" s="6" t="n"/>
      <c r="T832" s="6" t="n"/>
      <c r="Z832" s="6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8" t="n"/>
    </row>
    <row r="833" ht="12.75" customHeight="1" s="517">
      <c r="E833" s="41" t="n"/>
      <c r="N833" s="8" t="n"/>
      <c r="O833" s="6" t="n"/>
      <c r="T833" s="6" t="n"/>
      <c r="Z833" s="6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8" t="n"/>
    </row>
    <row r="834" ht="12.75" customHeight="1" s="517">
      <c r="E834" s="41" t="n"/>
      <c r="N834" s="8" t="n"/>
      <c r="O834" s="6" t="n"/>
      <c r="T834" s="6" t="n"/>
      <c r="Z834" s="6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8" t="n"/>
    </row>
    <row r="835" ht="12.75" customHeight="1" s="517">
      <c r="E835" s="41" t="n"/>
      <c r="N835" s="8" t="n"/>
      <c r="O835" s="6" t="n"/>
      <c r="T835" s="6" t="n"/>
      <c r="Z835" s="6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8" t="n"/>
    </row>
    <row r="836" ht="12.75" customHeight="1" s="517">
      <c r="E836" s="41" t="n"/>
      <c r="N836" s="8" t="n"/>
      <c r="O836" s="6" t="n"/>
      <c r="T836" s="6" t="n"/>
      <c r="Z836" s="6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8" t="n"/>
    </row>
    <row r="837" ht="12.75" customHeight="1" s="517">
      <c r="E837" s="41" t="n"/>
      <c r="N837" s="8" t="n"/>
      <c r="O837" s="6" t="n"/>
      <c r="T837" s="6" t="n"/>
      <c r="Z837" s="6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8" t="n"/>
    </row>
    <row r="838" ht="12.75" customHeight="1" s="517">
      <c r="E838" s="41" t="n"/>
      <c r="N838" s="8" t="n"/>
      <c r="O838" s="6" t="n"/>
      <c r="T838" s="6" t="n"/>
      <c r="Z838" s="6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8" t="n"/>
    </row>
    <row r="839" ht="12.75" customHeight="1" s="517">
      <c r="E839" s="41" t="n"/>
      <c r="N839" s="8" t="n"/>
      <c r="O839" s="6" t="n"/>
      <c r="T839" s="6" t="n"/>
      <c r="Z839" s="6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8" t="n"/>
    </row>
    <row r="840" ht="12.75" customHeight="1" s="517">
      <c r="E840" s="41" t="n"/>
      <c r="N840" s="8" t="n"/>
      <c r="O840" s="6" t="n"/>
      <c r="T840" s="6" t="n"/>
      <c r="Z840" s="6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8" t="n"/>
    </row>
    <row r="841" ht="12.75" customHeight="1" s="517">
      <c r="E841" s="41" t="n"/>
      <c r="N841" s="8" t="n"/>
      <c r="O841" s="6" t="n"/>
      <c r="T841" s="6" t="n"/>
      <c r="Z841" s="6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8" t="n"/>
    </row>
    <row r="842" ht="12.75" customHeight="1" s="517">
      <c r="E842" s="41" t="n"/>
      <c r="N842" s="8" t="n"/>
      <c r="O842" s="6" t="n"/>
      <c r="T842" s="6" t="n"/>
      <c r="Z842" s="6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8" t="n"/>
    </row>
    <row r="843" ht="12.75" customHeight="1" s="517">
      <c r="E843" s="41" t="n"/>
      <c r="N843" s="8" t="n"/>
      <c r="O843" s="6" t="n"/>
      <c r="T843" s="6" t="n"/>
      <c r="Z843" s="6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8" t="n"/>
    </row>
    <row r="844" ht="12.75" customHeight="1" s="517">
      <c r="E844" s="41" t="n"/>
      <c r="N844" s="8" t="n"/>
      <c r="O844" s="6" t="n"/>
      <c r="T844" s="6" t="n"/>
      <c r="Z844" s="6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8" t="n"/>
    </row>
    <row r="845" ht="12.75" customHeight="1" s="517">
      <c r="E845" s="41" t="n"/>
      <c r="N845" s="8" t="n"/>
      <c r="O845" s="6" t="n"/>
      <c r="T845" s="6" t="n"/>
      <c r="Z845" s="6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8" t="n"/>
    </row>
    <row r="846" ht="12.75" customHeight="1" s="517">
      <c r="E846" s="41" t="n"/>
      <c r="N846" s="8" t="n"/>
      <c r="O846" s="6" t="n"/>
      <c r="T846" s="6" t="n"/>
      <c r="Z846" s="6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8" t="n"/>
    </row>
    <row r="847" ht="12.75" customHeight="1" s="517">
      <c r="E847" s="41" t="n"/>
      <c r="N847" s="8" t="n"/>
      <c r="O847" s="6" t="n"/>
      <c r="T847" s="6" t="n"/>
      <c r="Z847" s="6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8" t="n"/>
    </row>
    <row r="848" ht="12.75" customHeight="1" s="517">
      <c r="E848" s="41" t="n"/>
      <c r="N848" s="8" t="n"/>
      <c r="O848" s="6" t="n"/>
      <c r="T848" s="6" t="n"/>
      <c r="Z848" s="6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8" t="n"/>
    </row>
    <row r="849" ht="12.75" customHeight="1" s="517">
      <c r="E849" s="41" t="n"/>
      <c r="N849" s="8" t="n"/>
      <c r="O849" s="6" t="n"/>
      <c r="T849" s="6" t="n"/>
      <c r="Z849" s="6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8" t="n"/>
    </row>
    <row r="850" ht="12.75" customHeight="1" s="517">
      <c r="E850" s="41" t="n"/>
      <c r="N850" s="8" t="n"/>
      <c r="O850" s="6" t="n"/>
      <c r="T850" s="6" t="n"/>
      <c r="Z850" s="6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8" t="n"/>
    </row>
    <row r="851" ht="12.75" customHeight="1" s="517">
      <c r="E851" s="41" t="n"/>
      <c r="N851" s="8" t="n"/>
      <c r="O851" s="6" t="n"/>
      <c r="T851" s="6" t="n"/>
      <c r="Z851" s="6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8" t="n"/>
    </row>
    <row r="852" ht="12.75" customHeight="1" s="517">
      <c r="E852" s="41" t="n"/>
      <c r="N852" s="8" t="n"/>
      <c r="O852" s="6" t="n"/>
      <c r="T852" s="6" t="n"/>
      <c r="Z852" s="6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8" t="n"/>
    </row>
    <row r="853" ht="12.75" customHeight="1" s="517">
      <c r="E853" s="41" t="n"/>
      <c r="N853" s="8" t="n"/>
      <c r="O853" s="6" t="n"/>
      <c r="T853" s="6" t="n"/>
      <c r="Z853" s="6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8" t="n"/>
    </row>
    <row r="854" ht="12.75" customHeight="1" s="517">
      <c r="E854" s="41" t="n"/>
      <c r="N854" s="8" t="n"/>
      <c r="O854" s="6" t="n"/>
      <c r="T854" s="6" t="n"/>
      <c r="Z854" s="6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8" t="n"/>
    </row>
    <row r="855" ht="12.75" customHeight="1" s="517">
      <c r="E855" s="41" t="n"/>
      <c r="N855" s="8" t="n"/>
      <c r="O855" s="6" t="n"/>
      <c r="T855" s="6" t="n"/>
      <c r="Z855" s="6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8" t="n"/>
    </row>
    <row r="856" ht="12.75" customHeight="1" s="517">
      <c r="E856" s="41" t="n"/>
      <c r="N856" s="8" t="n"/>
      <c r="O856" s="6" t="n"/>
      <c r="T856" s="6" t="n"/>
      <c r="Z856" s="6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8" t="n"/>
    </row>
    <row r="857" ht="12.75" customHeight="1" s="517">
      <c r="E857" s="41" t="n"/>
      <c r="N857" s="8" t="n"/>
      <c r="O857" s="6" t="n"/>
      <c r="T857" s="6" t="n"/>
      <c r="Z857" s="6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8" t="n"/>
    </row>
    <row r="858" ht="12.75" customHeight="1" s="517">
      <c r="E858" s="41" t="n"/>
      <c r="N858" s="8" t="n"/>
      <c r="O858" s="6" t="n"/>
      <c r="T858" s="6" t="n"/>
      <c r="Z858" s="6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8" t="n"/>
    </row>
    <row r="859" ht="12.75" customHeight="1" s="517">
      <c r="E859" s="41" t="n"/>
      <c r="N859" s="8" t="n"/>
      <c r="O859" s="6" t="n"/>
      <c r="T859" s="6" t="n"/>
      <c r="Z859" s="6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8" t="n"/>
    </row>
    <row r="860" ht="12.75" customHeight="1" s="517">
      <c r="E860" s="41" t="n"/>
      <c r="N860" s="8" t="n"/>
      <c r="O860" s="6" t="n"/>
      <c r="T860" s="6" t="n"/>
      <c r="Z860" s="6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8" t="n"/>
    </row>
    <row r="861" ht="12.75" customHeight="1" s="517">
      <c r="E861" s="41" t="n"/>
      <c r="N861" s="8" t="n"/>
      <c r="O861" s="6" t="n"/>
      <c r="T861" s="6" t="n"/>
      <c r="Z861" s="6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8" t="n"/>
    </row>
    <row r="862" ht="12.75" customHeight="1" s="517">
      <c r="E862" s="41" t="n"/>
      <c r="N862" s="8" t="n"/>
      <c r="O862" s="6" t="n"/>
      <c r="T862" s="6" t="n"/>
      <c r="Z862" s="6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8" t="n"/>
    </row>
    <row r="863" ht="12.75" customHeight="1" s="517">
      <c r="E863" s="41" t="n"/>
      <c r="N863" s="8" t="n"/>
      <c r="O863" s="6" t="n"/>
      <c r="T863" s="6" t="n"/>
      <c r="Z863" s="6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8" t="n"/>
    </row>
    <row r="864" ht="12.75" customHeight="1" s="517">
      <c r="E864" s="41" t="n"/>
      <c r="N864" s="8" t="n"/>
      <c r="O864" s="6" t="n"/>
      <c r="T864" s="6" t="n"/>
      <c r="Z864" s="6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8" t="n"/>
    </row>
    <row r="865" ht="12.75" customHeight="1" s="517">
      <c r="E865" s="41" t="n"/>
      <c r="N865" s="8" t="n"/>
      <c r="O865" s="6" t="n"/>
      <c r="T865" s="6" t="n"/>
      <c r="Z865" s="6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8" t="n"/>
    </row>
    <row r="866" ht="12.75" customHeight="1" s="517">
      <c r="E866" s="41" t="n"/>
      <c r="N866" s="8" t="n"/>
      <c r="O866" s="6" t="n"/>
      <c r="T866" s="6" t="n"/>
      <c r="Z866" s="6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8" t="n"/>
    </row>
    <row r="867" ht="12.75" customHeight="1" s="517">
      <c r="E867" s="41" t="n"/>
      <c r="N867" s="8" t="n"/>
      <c r="O867" s="6" t="n"/>
      <c r="T867" s="6" t="n"/>
      <c r="Z867" s="6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8" t="n"/>
    </row>
    <row r="868" ht="12.75" customHeight="1" s="517">
      <c r="E868" s="41" t="n"/>
      <c r="N868" s="8" t="n"/>
      <c r="O868" s="6" t="n"/>
      <c r="T868" s="6" t="n"/>
      <c r="Z868" s="6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8" t="n"/>
    </row>
    <row r="869" ht="12.75" customHeight="1" s="517">
      <c r="E869" s="41" t="n"/>
      <c r="N869" s="8" t="n"/>
      <c r="O869" s="6" t="n"/>
      <c r="T869" s="6" t="n"/>
      <c r="Z869" s="6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8" t="n"/>
    </row>
    <row r="870" ht="12.75" customHeight="1" s="517">
      <c r="E870" s="41" t="n"/>
      <c r="N870" s="8" t="n"/>
      <c r="O870" s="6" t="n"/>
      <c r="T870" s="6" t="n"/>
      <c r="Z870" s="6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8" t="n"/>
    </row>
    <row r="871" ht="12.75" customHeight="1" s="517">
      <c r="E871" s="41" t="n"/>
      <c r="N871" s="8" t="n"/>
      <c r="O871" s="6" t="n"/>
      <c r="T871" s="6" t="n"/>
      <c r="Z871" s="6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8" t="n"/>
    </row>
    <row r="872" ht="12.75" customHeight="1" s="517">
      <c r="E872" s="41" t="n"/>
      <c r="N872" s="8" t="n"/>
      <c r="O872" s="6" t="n"/>
      <c r="T872" s="6" t="n"/>
      <c r="Z872" s="6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8" t="n"/>
    </row>
    <row r="873" ht="12.75" customHeight="1" s="517">
      <c r="E873" s="41" t="n"/>
      <c r="N873" s="8" t="n"/>
      <c r="O873" s="6" t="n"/>
      <c r="T873" s="6" t="n"/>
      <c r="Z873" s="6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8" t="n"/>
    </row>
    <row r="874" ht="12.75" customHeight="1" s="517">
      <c r="E874" s="41" t="n"/>
      <c r="N874" s="8" t="n"/>
      <c r="O874" s="6" t="n"/>
      <c r="T874" s="6" t="n"/>
      <c r="Z874" s="6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8" t="n"/>
    </row>
    <row r="875" ht="12.75" customHeight="1" s="517">
      <c r="E875" s="41" t="n"/>
      <c r="N875" s="8" t="n"/>
      <c r="O875" s="6" t="n"/>
      <c r="T875" s="6" t="n"/>
      <c r="Z875" s="6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8" t="n"/>
    </row>
    <row r="876" ht="12.75" customHeight="1" s="517">
      <c r="E876" s="41" t="n"/>
      <c r="N876" s="8" t="n"/>
      <c r="O876" s="6" t="n"/>
      <c r="T876" s="6" t="n"/>
      <c r="Z876" s="6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8" t="n"/>
    </row>
    <row r="877" ht="12.75" customHeight="1" s="517">
      <c r="E877" s="41" t="n"/>
      <c r="N877" s="8" t="n"/>
      <c r="O877" s="6" t="n"/>
      <c r="T877" s="6" t="n"/>
      <c r="Z877" s="6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8" t="n"/>
    </row>
    <row r="878" ht="12.75" customHeight="1" s="517">
      <c r="E878" s="41" t="n"/>
      <c r="N878" s="8" t="n"/>
      <c r="O878" s="6" t="n"/>
      <c r="T878" s="6" t="n"/>
      <c r="Z878" s="6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8" t="n"/>
    </row>
    <row r="879" ht="12.75" customHeight="1" s="517">
      <c r="E879" s="41" t="n"/>
      <c r="N879" s="8" t="n"/>
      <c r="O879" s="6" t="n"/>
      <c r="T879" s="6" t="n"/>
      <c r="Z879" s="6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8" t="n"/>
    </row>
    <row r="880" ht="12.75" customHeight="1" s="517">
      <c r="E880" s="41" t="n"/>
      <c r="N880" s="8" t="n"/>
      <c r="O880" s="6" t="n"/>
      <c r="T880" s="6" t="n"/>
      <c r="Z880" s="6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8" t="n"/>
    </row>
    <row r="881" ht="12.75" customHeight="1" s="517">
      <c r="E881" s="41" t="n"/>
      <c r="N881" s="8" t="n"/>
      <c r="O881" s="6" t="n"/>
      <c r="T881" s="6" t="n"/>
      <c r="Z881" s="6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8" t="n"/>
    </row>
    <row r="882" ht="12.75" customHeight="1" s="517">
      <c r="E882" s="41" t="n"/>
      <c r="N882" s="8" t="n"/>
      <c r="O882" s="6" t="n"/>
      <c r="T882" s="6" t="n"/>
      <c r="Z882" s="6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8" t="n"/>
    </row>
    <row r="883" ht="12.75" customHeight="1" s="517">
      <c r="E883" s="41" t="n"/>
      <c r="N883" s="8" t="n"/>
      <c r="O883" s="6" t="n"/>
      <c r="T883" s="6" t="n"/>
      <c r="Z883" s="6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8" t="n"/>
    </row>
    <row r="884" ht="12.75" customHeight="1" s="517">
      <c r="E884" s="41" t="n"/>
      <c r="N884" s="8" t="n"/>
      <c r="O884" s="6" t="n"/>
      <c r="T884" s="6" t="n"/>
      <c r="Z884" s="6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8" t="n"/>
    </row>
    <row r="885" ht="12.75" customHeight="1" s="517">
      <c r="E885" s="41" t="n"/>
      <c r="N885" s="8" t="n"/>
      <c r="O885" s="6" t="n"/>
      <c r="T885" s="6" t="n"/>
      <c r="Z885" s="6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8" t="n"/>
    </row>
    <row r="886" ht="12.75" customHeight="1" s="517">
      <c r="E886" s="41" t="n"/>
      <c r="N886" s="8" t="n"/>
      <c r="O886" s="6" t="n"/>
      <c r="T886" s="6" t="n"/>
      <c r="Z886" s="6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8" t="n"/>
    </row>
    <row r="887" ht="12.75" customHeight="1" s="517">
      <c r="E887" s="41" t="n"/>
      <c r="N887" s="8" t="n"/>
      <c r="O887" s="6" t="n"/>
      <c r="T887" s="6" t="n"/>
      <c r="Z887" s="6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8" t="n"/>
    </row>
    <row r="888" ht="12.75" customHeight="1" s="517">
      <c r="E888" s="41" t="n"/>
      <c r="N888" s="8" t="n"/>
      <c r="O888" s="6" t="n"/>
      <c r="T888" s="6" t="n"/>
      <c r="Z888" s="6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8" t="n"/>
    </row>
    <row r="889" ht="12.75" customHeight="1" s="517">
      <c r="E889" s="41" t="n"/>
      <c r="N889" s="8" t="n"/>
      <c r="O889" s="6" t="n"/>
      <c r="T889" s="6" t="n"/>
      <c r="Z889" s="6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8" t="n"/>
    </row>
    <row r="890" ht="12.75" customHeight="1" s="517">
      <c r="E890" s="41" t="n"/>
      <c r="N890" s="8" t="n"/>
      <c r="O890" s="6" t="n"/>
      <c r="T890" s="6" t="n"/>
      <c r="Z890" s="6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8" t="n"/>
    </row>
    <row r="891" ht="12.75" customHeight="1" s="517">
      <c r="E891" s="41" t="n"/>
      <c r="N891" s="8" t="n"/>
      <c r="O891" s="6" t="n"/>
      <c r="T891" s="6" t="n"/>
      <c r="Z891" s="6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8" t="n"/>
    </row>
    <row r="892" ht="12.75" customHeight="1" s="517">
      <c r="E892" s="41" t="n"/>
      <c r="N892" s="8" t="n"/>
      <c r="O892" s="6" t="n"/>
      <c r="T892" s="6" t="n"/>
      <c r="Z892" s="6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8" t="n"/>
    </row>
    <row r="893" ht="12.75" customHeight="1" s="517">
      <c r="E893" s="41" t="n"/>
      <c r="N893" s="8" t="n"/>
      <c r="O893" s="6" t="n"/>
      <c r="T893" s="6" t="n"/>
      <c r="Z893" s="6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8" t="n"/>
    </row>
    <row r="894" ht="12.75" customHeight="1" s="517">
      <c r="E894" s="41" t="n"/>
      <c r="N894" s="8" t="n"/>
      <c r="O894" s="6" t="n"/>
      <c r="T894" s="6" t="n"/>
      <c r="Z894" s="6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8" t="n"/>
    </row>
    <row r="895" ht="12.75" customHeight="1" s="517">
      <c r="E895" s="41" t="n"/>
      <c r="N895" s="8" t="n"/>
      <c r="O895" s="6" t="n"/>
      <c r="T895" s="6" t="n"/>
      <c r="Z895" s="6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8" t="n"/>
    </row>
    <row r="896" ht="12.75" customHeight="1" s="517">
      <c r="E896" s="41" t="n"/>
      <c r="N896" s="8" t="n"/>
      <c r="O896" s="6" t="n"/>
      <c r="T896" s="6" t="n"/>
      <c r="Z896" s="6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8" t="n"/>
    </row>
    <row r="897" ht="12.75" customHeight="1" s="517">
      <c r="E897" s="41" t="n"/>
      <c r="N897" s="8" t="n"/>
      <c r="O897" s="6" t="n"/>
      <c r="T897" s="6" t="n"/>
      <c r="Z897" s="6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8" t="n"/>
    </row>
    <row r="898" ht="12.75" customHeight="1" s="517">
      <c r="E898" s="41" t="n"/>
      <c r="N898" s="8" t="n"/>
      <c r="O898" s="6" t="n"/>
      <c r="T898" s="6" t="n"/>
      <c r="Z898" s="6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8" t="n"/>
    </row>
    <row r="899" ht="12.75" customHeight="1" s="517">
      <c r="E899" s="41" t="n"/>
      <c r="N899" s="8" t="n"/>
      <c r="O899" s="6" t="n"/>
      <c r="T899" s="6" t="n"/>
      <c r="Z899" s="6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8" t="n"/>
    </row>
    <row r="900" ht="12.75" customHeight="1" s="517">
      <c r="E900" s="41" t="n"/>
      <c r="N900" s="8" t="n"/>
      <c r="O900" s="6" t="n"/>
      <c r="T900" s="6" t="n"/>
      <c r="Z900" s="6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8" t="n"/>
    </row>
    <row r="901" ht="12.75" customHeight="1" s="517">
      <c r="E901" s="41" t="n"/>
      <c r="N901" s="8" t="n"/>
      <c r="O901" s="6" t="n"/>
      <c r="T901" s="6" t="n"/>
      <c r="Z901" s="6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8" t="n"/>
    </row>
    <row r="902" ht="12.75" customHeight="1" s="517">
      <c r="E902" s="41" t="n"/>
      <c r="N902" s="8" t="n"/>
      <c r="O902" s="6" t="n"/>
      <c r="T902" s="6" t="n"/>
      <c r="Z902" s="6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8" t="n"/>
    </row>
    <row r="903" ht="12.75" customHeight="1" s="517">
      <c r="E903" s="41" t="n"/>
      <c r="N903" s="8" t="n"/>
      <c r="O903" s="6" t="n"/>
      <c r="T903" s="6" t="n"/>
      <c r="Z903" s="6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8" t="n"/>
    </row>
    <row r="904" ht="12.75" customHeight="1" s="517">
      <c r="E904" s="41" t="n"/>
      <c r="N904" s="8" t="n"/>
      <c r="O904" s="6" t="n"/>
      <c r="T904" s="6" t="n"/>
      <c r="Z904" s="6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8" t="n"/>
    </row>
    <row r="905" ht="12.75" customHeight="1" s="517">
      <c r="E905" s="41" t="n"/>
      <c r="N905" s="8" t="n"/>
      <c r="O905" s="6" t="n"/>
      <c r="T905" s="6" t="n"/>
      <c r="Z905" s="6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8" t="n"/>
    </row>
    <row r="906" ht="12.75" customHeight="1" s="517">
      <c r="E906" s="41" t="n"/>
      <c r="N906" s="8" t="n"/>
      <c r="O906" s="6" t="n"/>
      <c r="T906" s="6" t="n"/>
      <c r="Z906" s="6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8" t="n"/>
    </row>
    <row r="907" ht="12.75" customHeight="1" s="517">
      <c r="E907" s="41" t="n"/>
      <c r="N907" s="8" t="n"/>
      <c r="O907" s="6" t="n"/>
      <c r="T907" s="6" t="n"/>
      <c r="Z907" s="6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8" t="n"/>
    </row>
    <row r="908" ht="12.75" customHeight="1" s="517">
      <c r="E908" s="41" t="n"/>
      <c r="N908" s="8" t="n"/>
      <c r="O908" s="6" t="n"/>
      <c r="T908" s="6" t="n"/>
      <c r="Z908" s="6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8" t="n"/>
    </row>
    <row r="909" ht="12.75" customHeight="1" s="517">
      <c r="E909" s="41" t="n"/>
      <c r="N909" s="8" t="n"/>
      <c r="O909" s="6" t="n"/>
      <c r="T909" s="6" t="n"/>
      <c r="Z909" s="6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8" t="n"/>
    </row>
    <row r="910" ht="12.75" customHeight="1" s="517">
      <c r="E910" s="41" t="n"/>
      <c r="N910" s="8" t="n"/>
      <c r="O910" s="6" t="n"/>
      <c r="T910" s="6" t="n"/>
      <c r="Z910" s="6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8" t="n"/>
    </row>
    <row r="911" ht="12.75" customHeight="1" s="517">
      <c r="E911" s="41" t="n"/>
      <c r="N911" s="8" t="n"/>
      <c r="O911" s="6" t="n"/>
      <c r="T911" s="6" t="n"/>
      <c r="Z911" s="6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8" t="n"/>
    </row>
    <row r="912" ht="12.75" customHeight="1" s="517">
      <c r="E912" s="41" t="n"/>
      <c r="N912" s="8" t="n"/>
      <c r="O912" s="6" t="n"/>
      <c r="T912" s="6" t="n"/>
      <c r="Z912" s="6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8" t="n"/>
    </row>
    <row r="913" ht="12.75" customHeight="1" s="517">
      <c r="E913" s="41" t="n"/>
      <c r="N913" s="8" t="n"/>
      <c r="O913" s="6" t="n"/>
      <c r="T913" s="6" t="n"/>
      <c r="Z913" s="6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8" t="n"/>
    </row>
    <row r="914" ht="12.75" customHeight="1" s="517">
      <c r="E914" s="41" t="n"/>
      <c r="N914" s="8" t="n"/>
      <c r="O914" s="6" t="n"/>
      <c r="T914" s="6" t="n"/>
      <c r="Z914" s="6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8" t="n"/>
    </row>
    <row r="915" ht="12.75" customHeight="1" s="517">
      <c r="E915" s="41" t="n"/>
      <c r="N915" s="8" t="n"/>
      <c r="O915" s="6" t="n"/>
      <c r="T915" s="6" t="n"/>
      <c r="Z915" s="6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8" t="n"/>
    </row>
    <row r="916" ht="12.75" customHeight="1" s="517">
      <c r="E916" s="41" t="n"/>
      <c r="N916" s="8" t="n"/>
      <c r="O916" s="6" t="n"/>
      <c r="T916" s="6" t="n"/>
      <c r="Z916" s="6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8" t="n"/>
    </row>
    <row r="917" ht="12.75" customHeight="1" s="517">
      <c r="E917" s="41" t="n"/>
      <c r="N917" s="8" t="n"/>
      <c r="O917" s="6" t="n"/>
      <c r="T917" s="6" t="n"/>
      <c r="Z917" s="6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8" t="n"/>
    </row>
    <row r="918" ht="12.75" customHeight="1" s="517">
      <c r="E918" s="41" t="n"/>
      <c r="N918" s="8" t="n"/>
      <c r="O918" s="6" t="n"/>
      <c r="T918" s="6" t="n"/>
      <c r="Z918" s="6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8" t="n"/>
    </row>
    <row r="919" ht="12.75" customHeight="1" s="517">
      <c r="E919" s="41" t="n"/>
      <c r="N919" s="8" t="n"/>
      <c r="O919" s="6" t="n"/>
      <c r="T919" s="6" t="n"/>
      <c r="Z919" s="6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8" t="n"/>
    </row>
    <row r="920" ht="12.75" customHeight="1" s="517">
      <c r="E920" s="41" t="n"/>
      <c r="N920" s="8" t="n"/>
      <c r="O920" s="6" t="n"/>
      <c r="T920" s="6" t="n"/>
      <c r="Z920" s="6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8" t="n"/>
    </row>
    <row r="921" ht="12.75" customHeight="1" s="517">
      <c r="E921" s="41" t="n"/>
      <c r="N921" s="8" t="n"/>
      <c r="O921" s="6" t="n"/>
      <c r="T921" s="6" t="n"/>
      <c r="Z921" s="6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8" t="n"/>
    </row>
    <row r="922" ht="12.75" customHeight="1" s="517">
      <c r="E922" s="41" t="n"/>
      <c r="N922" s="8" t="n"/>
      <c r="O922" s="6" t="n"/>
      <c r="T922" s="6" t="n"/>
      <c r="Z922" s="6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8" t="n"/>
    </row>
    <row r="923" ht="12.75" customHeight="1" s="517">
      <c r="E923" s="41" t="n"/>
      <c r="N923" s="8" t="n"/>
      <c r="O923" s="6" t="n"/>
      <c r="T923" s="6" t="n"/>
      <c r="Z923" s="6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8" t="n"/>
    </row>
    <row r="924" ht="12.75" customHeight="1" s="517">
      <c r="E924" s="41" t="n"/>
      <c r="N924" s="8" t="n"/>
      <c r="O924" s="6" t="n"/>
      <c r="T924" s="6" t="n"/>
      <c r="Z924" s="6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8" t="n"/>
    </row>
    <row r="925" ht="12.75" customHeight="1" s="517">
      <c r="E925" s="41" t="n"/>
      <c r="N925" s="8" t="n"/>
      <c r="O925" s="6" t="n"/>
      <c r="T925" s="6" t="n"/>
      <c r="Z925" s="6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8" t="n"/>
    </row>
    <row r="926" ht="12.75" customHeight="1" s="517">
      <c r="E926" s="41" t="n"/>
      <c r="N926" s="8" t="n"/>
      <c r="O926" s="6" t="n"/>
      <c r="T926" s="6" t="n"/>
      <c r="Z926" s="6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8" t="n"/>
    </row>
    <row r="927" ht="12.75" customHeight="1" s="517">
      <c r="E927" s="41" t="n"/>
      <c r="N927" s="8" t="n"/>
      <c r="O927" s="6" t="n"/>
      <c r="T927" s="6" t="n"/>
      <c r="Z927" s="6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8" t="n"/>
    </row>
    <row r="928" ht="12.75" customHeight="1" s="517">
      <c r="E928" s="41" t="n"/>
      <c r="N928" s="8" t="n"/>
      <c r="O928" s="6" t="n"/>
      <c r="T928" s="6" t="n"/>
      <c r="Z928" s="6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8" t="n"/>
    </row>
    <row r="929" ht="12.75" customHeight="1" s="517">
      <c r="E929" s="41" t="n"/>
      <c r="N929" s="8" t="n"/>
      <c r="O929" s="6" t="n"/>
      <c r="T929" s="6" t="n"/>
      <c r="Z929" s="6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8" t="n"/>
    </row>
    <row r="930" ht="12.75" customHeight="1" s="517">
      <c r="E930" s="41" t="n"/>
      <c r="N930" s="8" t="n"/>
      <c r="O930" s="6" t="n"/>
      <c r="T930" s="6" t="n"/>
      <c r="Z930" s="6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8" t="n"/>
    </row>
    <row r="931" ht="12.75" customHeight="1" s="517">
      <c r="E931" s="41" t="n"/>
      <c r="N931" s="8" t="n"/>
      <c r="O931" s="6" t="n"/>
      <c r="T931" s="6" t="n"/>
      <c r="Z931" s="6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8" t="n"/>
    </row>
    <row r="932" ht="12.75" customHeight="1" s="517">
      <c r="E932" s="41" t="n"/>
      <c r="N932" s="8" t="n"/>
      <c r="O932" s="6" t="n"/>
      <c r="T932" s="6" t="n"/>
      <c r="Z932" s="6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8" t="n"/>
    </row>
    <row r="933" ht="12.75" customHeight="1" s="517">
      <c r="E933" s="41" t="n"/>
      <c r="N933" s="8" t="n"/>
      <c r="O933" s="6" t="n"/>
      <c r="T933" s="6" t="n"/>
      <c r="Z933" s="6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8" t="n"/>
    </row>
    <row r="934" ht="12.75" customHeight="1" s="517">
      <c r="E934" s="41" t="n"/>
      <c r="N934" s="8" t="n"/>
      <c r="O934" s="6" t="n"/>
      <c r="T934" s="6" t="n"/>
      <c r="Z934" s="6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8" t="n"/>
    </row>
    <row r="935" ht="12.75" customHeight="1" s="517">
      <c r="E935" s="41" t="n"/>
      <c r="N935" s="8" t="n"/>
      <c r="O935" s="6" t="n"/>
      <c r="T935" s="6" t="n"/>
      <c r="Z935" s="6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8" t="n"/>
    </row>
    <row r="936" ht="12.75" customHeight="1" s="517">
      <c r="E936" s="41" t="n"/>
      <c r="N936" s="8" t="n"/>
      <c r="O936" s="6" t="n"/>
      <c r="T936" s="6" t="n"/>
      <c r="Z936" s="6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8" t="n"/>
    </row>
    <row r="937" ht="12.75" customHeight="1" s="517">
      <c r="E937" s="41" t="n"/>
      <c r="N937" s="8" t="n"/>
      <c r="O937" s="6" t="n"/>
      <c r="T937" s="6" t="n"/>
      <c r="Z937" s="6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8" t="n"/>
    </row>
    <row r="938" ht="12.75" customHeight="1" s="517">
      <c r="E938" s="41" t="n"/>
      <c r="N938" s="8" t="n"/>
      <c r="O938" s="6" t="n"/>
      <c r="T938" s="6" t="n"/>
      <c r="Z938" s="6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8" t="n"/>
    </row>
    <row r="939" ht="12.75" customHeight="1" s="517">
      <c r="E939" s="41" t="n"/>
      <c r="N939" s="8" t="n"/>
      <c r="O939" s="6" t="n"/>
      <c r="T939" s="6" t="n"/>
      <c r="Z939" s="6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8" t="n"/>
    </row>
    <row r="940" ht="12.75" customHeight="1" s="517">
      <c r="E940" s="41" t="n"/>
      <c r="N940" s="8" t="n"/>
      <c r="O940" s="6" t="n"/>
      <c r="T940" s="6" t="n"/>
      <c r="Z940" s="6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8" t="n"/>
    </row>
    <row r="941" ht="12.75" customHeight="1" s="517">
      <c r="E941" s="41" t="n"/>
      <c r="N941" s="8" t="n"/>
      <c r="O941" s="6" t="n"/>
      <c r="T941" s="6" t="n"/>
      <c r="Z941" s="6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8" t="n"/>
    </row>
    <row r="942" ht="12.75" customHeight="1" s="517">
      <c r="E942" s="41" t="n"/>
      <c r="N942" s="8" t="n"/>
      <c r="O942" s="6" t="n"/>
      <c r="T942" s="6" t="n"/>
      <c r="Z942" s="6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8" t="n"/>
    </row>
    <row r="943" ht="12.75" customHeight="1" s="517">
      <c r="E943" s="41" t="n"/>
      <c r="N943" s="8" t="n"/>
      <c r="O943" s="6" t="n"/>
      <c r="T943" s="6" t="n"/>
      <c r="Z943" s="6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8" t="n"/>
    </row>
    <row r="944" ht="12.75" customHeight="1" s="517">
      <c r="E944" s="41" t="n"/>
      <c r="N944" s="8" t="n"/>
      <c r="O944" s="6" t="n"/>
      <c r="T944" s="6" t="n"/>
      <c r="Z944" s="6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8" t="n"/>
    </row>
    <row r="945" ht="12.75" customHeight="1" s="517">
      <c r="E945" s="41" t="n"/>
      <c r="N945" s="8" t="n"/>
      <c r="O945" s="6" t="n"/>
      <c r="T945" s="6" t="n"/>
      <c r="Z945" s="6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8" t="n"/>
    </row>
    <row r="946" ht="12.75" customHeight="1" s="517">
      <c r="E946" s="41" t="n"/>
      <c r="N946" s="8" t="n"/>
      <c r="O946" s="6" t="n"/>
      <c r="T946" s="6" t="n"/>
      <c r="Z946" s="6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8" t="n"/>
    </row>
    <row r="947" ht="12.75" customHeight="1" s="517">
      <c r="E947" s="41" t="n"/>
      <c r="N947" s="8" t="n"/>
      <c r="O947" s="6" t="n"/>
      <c r="T947" s="6" t="n"/>
      <c r="Z947" s="6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8" t="n"/>
    </row>
    <row r="948" ht="12.75" customHeight="1" s="517">
      <c r="E948" s="41" t="n"/>
      <c r="N948" s="8" t="n"/>
      <c r="O948" s="6" t="n"/>
      <c r="T948" s="6" t="n"/>
      <c r="Z948" s="6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8" t="n"/>
    </row>
    <row r="949" ht="12.75" customHeight="1" s="517">
      <c r="E949" s="41" t="n"/>
      <c r="N949" s="8" t="n"/>
      <c r="O949" s="6" t="n"/>
      <c r="T949" s="6" t="n"/>
      <c r="Z949" s="6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8" t="n"/>
    </row>
    <row r="950" ht="12.75" customHeight="1" s="517">
      <c r="E950" s="41" t="n"/>
      <c r="N950" s="8" t="n"/>
      <c r="O950" s="6" t="n"/>
      <c r="T950" s="6" t="n"/>
      <c r="Z950" s="6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8" t="n"/>
    </row>
    <row r="951" ht="12.75" customHeight="1" s="517">
      <c r="E951" s="41" t="n"/>
      <c r="N951" s="8" t="n"/>
      <c r="O951" s="6" t="n"/>
      <c r="T951" s="6" t="n"/>
      <c r="Z951" s="6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8" t="n"/>
    </row>
    <row r="952" ht="12.75" customHeight="1" s="517">
      <c r="E952" s="41" t="n"/>
      <c r="N952" s="8" t="n"/>
      <c r="O952" s="6" t="n"/>
      <c r="T952" s="6" t="n"/>
      <c r="Z952" s="6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8" t="n"/>
    </row>
    <row r="953" ht="12.75" customHeight="1" s="517">
      <c r="E953" s="41" t="n"/>
      <c r="N953" s="8" t="n"/>
      <c r="O953" s="6" t="n"/>
      <c r="T953" s="6" t="n"/>
      <c r="Z953" s="6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8" t="n"/>
    </row>
    <row r="954" ht="12.75" customHeight="1" s="517">
      <c r="E954" s="41" t="n"/>
      <c r="N954" s="8" t="n"/>
      <c r="O954" s="6" t="n"/>
      <c r="T954" s="6" t="n"/>
      <c r="Z954" s="6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8" t="n"/>
    </row>
    <row r="955" ht="12.75" customHeight="1" s="517">
      <c r="E955" s="41" t="n"/>
      <c r="N955" s="8" t="n"/>
      <c r="O955" s="6" t="n"/>
      <c r="T955" s="6" t="n"/>
      <c r="Z955" s="6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8" t="n"/>
    </row>
    <row r="956" ht="12.75" customHeight="1" s="517">
      <c r="E956" s="41" t="n"/>
      <c r="N956" s="8" t="n"/>
      <c r="O956" s="6" t="n"/>
      <c r="T956" s="6" t="n"/>
      <c r="Z956" s="6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8" t="n"/>
    </row>
    <row r="957" ht="12.75" customHeight="1" s="517">
      <c r="E957" s="41" t="n"/>
      <c r="N957" s="8" t="n"/>
      <c r="O957" s="6" t="n"/>
      <c r="T957" s="6" t="n"/>
      <c r="Z957" s="6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8" t="n"/>
    </row>
    <row r="958" ht="12.75" customHeight="1" s="517">
      <c r="E958" s="41" t="n"/>
      <c r="N958" s="8" t="n"/>
      <c r="O958" s="6" t="n"/>
      <c r="T958" s="6" t="n"/>
      <c r="Z958" s="6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8" t="n"/>
    </row>
    <row r="959" ht="12.75" customHeight="1" s="517">
      <c r="E959" s="41" t="n"/>
      <c r="N959" s="8" t="n"/>
      <c r="O959" s="6" t="n"/>
      <c r="T959" s="6" t="n"/>
      <c r="Z959" s="6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8" t="n"/>
    </row>
    <row r="960" ht="12.75" customHeight="1" s="517">
      <c r="E960" s="41" t="n"/>
      <c r="N960" s="8" t="n"/>
      <c r="O960" s="6" t="n"/>
      <c r="T960" s="6" t="n"/>
      <c r="Z960" s="6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8" t="n"/>
    </row>
    <row r="961" ht="12.75" customHeight="1" s="517">
      <c r="E961" s="41" t="n"/>
      <c r="N961" s="8" t="n"/>
      <c r="O961" s="6" t="n"/>
      <c r="T961" s="6" t="n"/>
      <c r="Z961" s="6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8" t="n"/>
    </row>
    <row r="962" ht="12.75" customHeight="1" s="517">
      <c r="E962" s="41" t="n"/>
      <c r="N962" s="8" t="n"/>
      <c r="O962" s="6" t="n"/>
      <c r="T962" s="6" t="n"/>
      <c r="Z962" s="6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8" t="n"/>
    </row>
    <row r="963" ht="12.75" customHeight="1" s="517">
      <c r="E963" s="41" t="n"/>
      <c r="N963" s="8" t="n"/>
      <c r="O963" s="6" t="n"/>
      <c r="T963" s="6" t="n"/>
      <c r="Z963" s="6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8" t="n"/>
    </row>
    <row r="964" ht="12.75" customHeight="1" s="517">
      <c r="E964" s="41" t="n"/>
      <c r="N964" s="8" t="n"/>
      <c r="O964" s="6" t="n"/>
      <c r="T964" s="6" t="n"/>
      <c r="Z964" s="6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8" t="n"/>
    </row>
    <row r="965" ht="12.75" customHeight="1" s="517">
      <c r="E965" s="41" t="n"/>
      <c r="N965" s="8" t="n"/>
      <c r="O965" s="6" t="n"/>
      <c r="T965" s="6" t="n"/>
      <c r="Z965" s="6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8" t="n"/>
    </row>
    <row r="966" ht="12.75" customHeight="1" s="517">
      <c r="E966" s="41" t="n"/>
      <c r="N966" s="8" t="n"/>
      <c r="O966" s="6" t="n"/>
      <c r="T966" s="6" t="n"/>
      <c r="Z966" s="6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8" t="n"/>
    </row>
    <row r="967" ht="12.75" customHeight="1" s="517">
      <c r="E967" s="41" t="n"/>
      <c r="N967" s="8" t="n"/>
      <c r="O967" s="6" t="n"/>
      <c r="T967" s="6" t="n"/>
      <c r="Z967" s="6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8" t="n"/>
    </row>
    <row r="968" ht="12.75" customHeight="1" s="517">
      <c r="E968" s="41" t="n"/>
      <c r="N968" s="8" t="n"/>
      <c r="O968" s="6" t="n"/>
      <c r="T968" s="6" t="n"/>
      <c r="Z968" s="6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8" t="n"/>
    </row>
    <row r="969" ht="12.75" customHeight="1" s="517">
      <c r="E969" s="41" t="n"/>
      <c r="N969" s="8" t="n"/>
      <c r="O969" s="6" t="n"/>
      <c r="T969" s="6" t="n"/>
      <c r="Z969" s="6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8" t="n"/>
    </row>
    <row r="970" ht="12.75" customHeight="1" s="517">
      <c r="E970" s="41" t="n"/>
      <c r="N970" s="8" t="n"/>
      <c r="O970" s="6" t="n"/>
      <c r="T970" s="6" t="n"/>
      <c r="Z970" s="6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8" t="n"/>
    </row>
    <row r="971" ht="12.75" customHeight="1" s="517">
      <c r="E971" s="41" t="n"/>
      <c r="N971" s="8" t="n"/>
      <c r="O971" s="6" t="n"/>
      <c r="T971" s="6" t="n"/>
      <c r="Z971" s="6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8" t="n"/>
    </row>
    <row r="972" ht="12.75" customHeight="1" s="517">
      <c r="E972" s="41" t="n"/>
      <c r="N972" s="8" t="n"/>
      <c r="O972" s="6" t="n"/>
      <c r="T972" s="6" t="n"/>
      <c r="Z972" s="6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8" t="n"/>
    </row>
    <row r="973" ht="12.75" customHeight="1" s="517">
      <c r="E973" s="41" t="n"/>
      <c r="N973" s="8" t="n"/>
      <c r="O973" s="6" t="n"/>
      <c r="T973" s="6" t="n"/>
      <c r="Z973" s="6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8" t="n"/>
    </row>
    <row r="974" ht="12.75" customHeight="1" s="517">
      <c r="E974" s="41" t="n"/>
      <c r="N974" s="8" t="n"/>
      <c r="O974" s="6" t="n"/>
      <c r="T974" s="6" t="n"/>
      <c r="Z974" s="6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8" t="n"/>
    </row>
    <row r="975" ht="12.75" customHeight="1" s="517">
      <c r="E975" s="41" t="n"/>
      <c r="N975" s="8" t="n"/>
      <c r="O975" s="6" t="n"/>
      <c r="T975" s="6" t="n"/>
      <c r="Z975" s="6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8" t="n"/>
    </row>
    <row r="976" ht="12.75" customHeight="1" s="517">
      <c r="E976" s="41" t="n"/>
      <c r="N976" s="8" t="n"/>
      <c r="O976" s="6" t="n"/>
      <c r="T976" s="6" t="n"/>
      <c r="Z976" s="6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8" t="n"/>
    </row>
    <row r="977" ht="12.75" customHeight="1" s="517">
      <c r="E977" s="41" t="n"/>
      <c r="N977" s="8" t="n"/>
      <c r="O977" s="6" t="n"/>
      <c r="T977" s="6" t="n"/>
      <c r="Z977" s="6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8" t="n"/>
    </row>
    <row r="978" ht="12.75" customHeight="1" s="517">
      <c r="E978" s="41" t="n"/>
      <c r="N978" s="8" t="n"/>
      <c r="O978" s="6" t="n"/>
      <c r="T978" s="6" t="n"/>
      <c r="Z978" s="6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8" t="n"/>
    </row>
    <row r="979" ht="12.75" customHeight="1" s="517">
      <c r="E979" s="41" t="n"/>
      <c r="N979" s="8" t="n"/>
      <c r="O979" s="6" t="n"/>
      <c r="T979" s="6" t="n"/>
      <c r="Z979" s="6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8" t="n"/>
    </row>
    <row r="980" ht="12.75" customHeight="1" s="517">
      <c r="E980" s="41" t="n"/>
      <c r="N980" s="8" t="n"/>
      <c r="O980" s="6" t="n"/>
      <c r="T980" s="6" t="n"/>
      <c r="Z980" s="6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8" t="n"/>
    </row>
    <row r="981" ht="12.75" customHeight="1" s="517">
      <c r="E981" s="41" t="n"/>
      <c r="N981" s="8" t="n"/>
      <c r="O981" s="6" t="n"/>
      <c r="T981" s="6" t="n"/>
      <c r="Z981" s="6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8" t="n"/>
    </row>
    <row r="982" ht="12.75" customHeight="1" s="517">
      <c r="E982" s="41" t="n"/>
      <c r="N982" s="8" t="n"/>
      <c r="O982" s="6" t="n"/>
      <c r="T982" s="6" t="n"/>
      <c r="Z982" s="6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8" t="n"/>
    </row>
    <row r="983" ht="12.75" customHeight="1" s="517">
      <c r="E983" s="41" t="n"/>
      <c r="N983" s="8" t="n"/>
      <c r="O983" s="6" t="n"/>
      <c r="T983" s="6" t="n"/>
      <c r="Z983" s="6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8" t="n"/>
    </row>
    <row r="984" ht="12.75" customHeight="1" s="517">
      <c r="E984" s="41" t="n"/>
      <c r="N984" s="8" t="n"/>
      <c r="O984" s="6" t="n"/>
      <c r="T984" s="6" t="n"/>
      <c r="Z984" s="6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8" t="n"/>
    </row>
    <row r="985" ht="12.75" customHeight="1" s="517">
      <c r="E985" s="41" t="n"/>
      <c r="N985" s="8" t="n"/>
      <c r="O985" s="6" t="n"/>
      <c r="T985" s="6" t="n"/>
      <c r="Z985" s="6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8" t="n"/>
    </row>
    <row r="986" ht="12.75" customHeight="1" s="517">
      <c r="E986" s="41" t="n"/>
      <c r="N986" s="8" t="n"/>
      <c r="O986" s="6" t="n"/>
      <c r="T986" s="6" t="n"/>
      <c r="Z986" s="6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8" t="n"/>
    </row>
    <row r="987" ht="12.75" customHeight="1" s="517">
      <c r="E987" s="41" t="n"/>
      <c r="N987" s="8" t="n"/>
      <c r="O987" s="6" t="n"/>
      <c r="T987" s="6" t="n"/>
      <c r="Z987" s="6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8" t="n"/>
    </row>
    <row r="988" ht="12.75" customHeight="1" s="517">
      <c r="E988" s="41" t="n"/>
      <c r="N988" s="8" t="n"/>
      <c r="O988" s="6" t="n"/>
      <c r="T988" s="6" t="n"/>
      <c r="Z988" s="6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8" t="n"/>
    </row>
    <row r="989" ht="12.75" customHeight="1" s="517">
      <c r="E989" s="41" t="n"/>
      <c r="N989" s="8" t="n"/>
      <c r="O989" s="6" t="n"/>
      <c r="T989" s="6" t="n"/>
      <c r="Z989" s="6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8" t="n"/>
    </row>
    <row r="990" ht="12.75" customHeight="1" s="517">
      <c r="E990" s="41" t="n"/>
      <c r="N990" s="8" t="n"/>
      <c r="O990" s="6" t="n"/>
      <c r="T990" s="6" t="n"/>
      <c r="Z990" s="6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8" t="n"/>
    </row>
    <row r="991" ht="12.75" customHeight="1" s="517">
      <c r="E991" s="41" t="n"/>
      <c r="N991" s="8" t="n"/>
      <c r="O991" s="6" t="n"/>
      <c r="T991" s="6" t="n"/>
      <c r="Z991" s="6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8" t="n"/>
    </row>
    <row r="992" ht="12.75" customHeight="1" s="517">
      <c r="E992" s="41" t="n"/>
      <c r="N992" s="8" t="n"/>
      <c r="O992" s="6" t="n"/>
      <c r="T992" s="6" t="n"/>
      <c r="Z992" s="6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8" t="n"/>
    </row>
    <row r="993" ht="12.75" customHeight="1" s="517">
      <c r="E993" s="41" t="n"/>
      <c r="N993" s="8" t="n"/>
      <c r="O993" s="6" t="n"/>
      <c r="T993" s="6" t="n"/>
      <c r="Z993" s="6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8" t="n"/>
    </row>
    <row r="994" ht="12.75" customHeight="1" s="517">
      <c r="E994" s="41" t="n"/>
      <c r="N994" s="8" t="n"/>
      <c r="O994" s="6" t="n"/>
      <c r="T994" s="6" t="n"/>
      <c r="Z994" s="6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8" t="n"/>
    </row>
    <row r="995" ht="12.75" customHeight="1" s="517">
      <c r="E995" s="41" t="n"/>
      <c r="N995" s="8" t="n"/>
      <c r="O995" s="6" t="n"/>
      <c r="T995" s="6" t="n"/>
      <c r="Z995" s="6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8" t="n"/>
    </row>
    <row r="996" ht="12.75" customHeight="1" s="517">
      <c r="E996" s="41" t="n"/>
      <c r="N996" s="8" t="n"/>
      <c r="O996" s="6" t="n"/>
      <c r="T996" s="6" t="n"/>
      <c r="Z996" s="6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8" t="n"/>
    </row>
    <row r="997" ht="12.75" customHeight="1" s="517">
      <c r="E997" s="41" t="n"/>
      <c r="N997" s="8" t="n"/>
      <c r="O997" s="6" t="n"/>
      <c r="T997" s="6" t="n"/>
      <c r="Z997" s="6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8" t="n"/>
    </row>
    <row r="998" ht="12.75" customHeight="1" s="517">
      <c r="E998" s="41" t="n"/>
      <c r="N998" s="8" t="n"/>
      <c r="O998" s="6" t="n"/>
      <c r="T998" s="6" t="n"/>
      <c r="Z998" s="6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8" t="n"/>
    </row>
    <row r="999" ht="12.75" customHeight="1" s="517">
      <c r="E999" s="41" t="n"/>
      <c r="N999" s="8" t="n"/>
      <c r="O999" s="6" t="n"/>
      <c r="T999" s="6" t="n"/>
      <c r="Z999" s="6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8" t="n"/>
    </row>
    <row r="1000" ht="12.75" customHeight="1" s="517">
      <c r="E1000" s="41" t="n"/>
      <c r="N1000" s="8" t="n"/>
      <c r="O1000" s="6" t="n"/>
      <c r="T1000" s="6" t="n"/>
      <c r="Z1000" s="6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8" t="n"/>
    </row>
  </sheetData>
  <mergeCells count="126">
    <mergeCell ref="B11:D11"/>
    <mergeCell ref="J56:M56"/>
    <mergeCell ref="AC9:AI9"/>
    <mergeCell ref="AQ32:AR32"/>
    <mergeCell ref="L28:L31"/>
    <mergeCell ref="I23:I27"/>
    <mergeCell ref="Q55:R55"/>
    <mergeCell ref="F15:G15"/>
    <mergeCell ref="Q51:R51"/>
    <mergeCell ref="P30:P32"/>
    <mergeCell ref="AC33:AD33"/>
    <mergeCell ref="AE33:AF33"/>
    <mergeCell ref="J67:M67"/>
    <mergeCell ref="Q26:R26"/>
    <mergeCell ref="Q35:R35"/>
    <mergeCell ref="AQ18:AR18"/>
    <mergeCell ref="I40:I44"/>
    <mergeCell ref="O15:R15"/>
    <mergeCell ref="J59:M59"/>
    <mergeCell ref="AC35:AD35"/>
    <mergeCell ref="J60:M60"/>
    <mergeCell ref="J69:M69"/>
    <mergeCell ref="Q49:R49"/>
    <mergeCell ref="Q27:R27"/>
    <mergeCell ref="AQ35:AR35"/>
    <mergeCell ref="Q30:R30"/>
    <mergeCell ref="AQ34:AR34"/>
    <mergeCell ref="O16:R16"/>
    <mergeCell ref="AC36:AD36"/>
    <mergeCell ref="P62:R63"/>
    <mergeCell ref="AQ27:AR27"/>
    <mergeCell ref="I55:I57"/>
    <mergeCell ref="AQ36:AR36"/>
    <mergeCell ref="Q53:R53"/>
    <mergeCell ref="AQ30:AR30"/>
    <mergeCell ref="P65:R65"/>
    <mergeCell ref="AQ20:AR20"/>
    <mergeCell ref="Q37:R37"/>
    <mergeCell ref="Q52:R52"/>
    <mergeCell ref="I33:I39"/>
    <mergeCell ref="J62:M62"/>
    <mergeCell ref="AQ22:AR22"/>
    <mergeCell ref="Q39:R39"/>
    <mergeCell ref="L43:L44"/>
    <mergeCell ref="Q54:R54"/>
    <mergeCell ref="Q29:R29"/>
    <mergeCell ref="Q23:R23"/>
    <mergeCell ref="AQ21:AR21"/>
    <mergeCell ref="J64:M64"/>
    <mergeCell ref="Q38:R38"/>
    <mergeCell ref="P66:R66"/>
    <mergeCell ref="O11:S14"/>
    <mergeCell ref="C31:C32"/>
    <mergeCell ref="F42:G42"/>
    <mergeCell ref="J57:M57"/>
    <mergeCell ref="Q31:R31"/>
    <mergeCell ref="P33:P52"/>
    <mergeCell ref="Q40:R40"/>
    <mergeCell ref="F28:G28"/>
    <mergeCell ref="J68:M68"/>
    <mergeCell ref="P53:P56"/>
    <mergeCell ref="AG33:AH33"/>
    <mergeCell ref="Q57:R57"/>
    <mergeCell ref="AG35:AH35"/>
    <mergeCell ref="AC17:AD17"/>
    <mergeCell ref="P64:Q64"/>
    <mergeCell ref="W34:X34"/>
    <mergeCell ref="P23:P29"/>
    <mergeCell ref="Q28:R28"/>
    <mergeCell ref="Q42:R42"/>
    <mergeCell ref="AQ25:AR25"/>
    <mergeCell ref="AE35:AF35"/>
    <mergeCell ref="J63:M63"/>
    <mergeCell ref="D8:E9"/>
    <mergeCell ref="L25:L26"/>
    <mergeCell ref="Q59:R59"/>
    <mergeCell ref="Q46:R46"/>
    <mergeCell ref="AQ29:AR29"/>
    <mergeCell ref="AQ23:AR23"/>
    <mergeCell ref="F22:G22"/>
    <mergeCell ref="J65:M65"/>
    <mergeCell ref="Q48:R48"/>
    <mergeCell ref="P67:S67"/>
    <mergeCell ref="AQ31:AR31"/>
    <mergeCell ref="Q45:R45"/>
    <mergeCell ref="Q32:R32"/>
    <mergeCell ref="Q41:R41"/>
    <mergeCell ref="AQ24:AR24"/>
    <mergeCell ref="K49:K50"/>
    <mergeCell ref="Q47:R47"/>
    <mergeCell ref="Q56:R56"/>
    <mergeCell ref="J66:M66"/>
    <mergeCell ref="Q25:R25"/>
    <mergeCell ref="AQ26:AR26"/>
    <mergeCell ref="Q43:R43"/>
    <mergeCell ref="S17:S18"/>
    <mergeCell ref="AQ9:AW9"/>
    <mergeCell ref="Q24:R24"/>
    <mergeCell ref="P68:S68"/>
    <mergeCell ref="Q33:R33"/>
    <mergeCell ref="F13:G14"/>
    <mergeCell ref="AC18:AD18"/>
    <mergeCell ref="I48:I54"/>
    <mergeCell ref="S19:S20"/>
    <mergeCell ref="C25:D25"/>
    <mergeCell ref="Q58:R58"/>
    <mergeCell ref="AQ33:AR33"/>
    <mergeCell ref="Q50:R50"/>
    <mergeCell ref="L23:L24"/>
    <mergeCell ref="J55:K55"/>
    <mergeCell ref="F23:F26"/>
    <mergeCell ref="P57:P58"/>
    <mergeCell ref="AQ17:AR17"/>
    <mergeCell ref="Q34:R34"/>
    <mergeCell ref="I45:I47"/>
    <mergeCell ref="AC34:AD34"/>
    <mergeCell ref="O17:R18"/>
    <mergeCell ref="Q44:R44"/>
    <mergeCell ref="AQ19:AR19"/>
    <mergeCell ref="Q36:R36"/>
    <mergeCell ref="AQ28:AR28"/>
    <mergeCell ref="L49:L50"/>
    <mergeCell ref="O19:R20"/>
    <mergeCell ref="X9:Y9"/>
    <mergeCell ref="I28:I32"/>
    <mergeCell ref="S62:S63"/>
  </mergeCells>
  <dataValidations count="9">
    <dataValidation sqref="D3" showDropDown="0" showInputMessage="0" showErrorMessage="1" allowBlank="1" type="list">
      <formula1>"With Machining,Without Machining"</formula1>
    </dataValidation>
    <dataValidation sqref="G6:G7" showDropDown="0" showInputMessage="0" showErrorMessage="1" allowBlank="1" type="list">
      <formula1>"Lumpsum,Piece price"</formula1>
    </dataValidation>
    <dataValidation sqref="L12:L16" showDropDown="0" showInputMessage="0" showErrorMessage="1" allowBlank="1" type="list">
      <formula1>"NIL,1,2,3,4"</formula1>
    </dataValidation>
    <dataValidation sqref="D49" showDropDown="0" showInputMessage="0" showErrorMessage="1" allowBlank="1" type="list">
      <formula1>"YES,NO"</formula1>
    </dataValidation>
    <dataValidation sqref="G2" showDropDown="0" showInputMessage="0" showErrorMessage="1" allowBlank="1" type="list">
      <formula1>"Lumpsum,Amortization"</formula1>
    </dataValidation>
    <dataValidation sqref="C10" showDropDown="0" showInputMessage="0" showErrorMessage="1" allowBlank="1" type="list">
      <formula1>"Domestic,Export"</formula1>
    </dataValidation>
    <dataValidation sqref="C3" showDropDown="0" showInputMessage="0" showErrorMessage="1" allowBlank="1" type="list">
      <formula1>"PDC,GDC with core,GDC"</formula1>
    </dataValidation>
    <dataValidation sqref="D10" showDropDown="0" showInputMessage="0" showErrorMessage="1" allowBlank="1" type="list">
      <formula1>"Exwork,CIF"</formula1>
    </dataValidation>
    <dataValidation sqref="C9 L17" showDropDown="0" showInputMessage="0" showErrorMessage="1" allowBlank="1" type="list">
      <formula1>"1,2,3,4"</formula1>
    </dataValidation>
  </dataValidations>
  <pageMargins left="0.7" right="0.7" top="0.75" bottom="0.75" header="0" footer="0"/>
  <pageSetup orientation="portrait" paperSize="9"/>
  <headerFooter>
    <oddHeader/>
    <oddFooter>&amp;LClassification: FFA500Confidential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2026-06-17T06:00:10Z</dcterms:created>
  <dcterms:modified xsi:type="dcterms:W3CDTF">2026-07-13T06:01:42Z</dcterms:modified>
  <cp:lastModifiedBy>Thulasi Vasan [C]</cp:lastModifiedBy>
</cp:coreProperties>
</file>